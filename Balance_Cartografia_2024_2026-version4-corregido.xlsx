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UEDAA\Descargas\"/>
    </mc:Choice>
  </mc:AlternateContent>
  <xr:revisionPtr revIDLastSave="0" documentId="13_ncr:1_{908281A9-8A4D-4E9C-B2F8-E1064AC293F4}" xr6:coauthVersionLast="47" xr6:coauthVersionMax="47" xr10:uidLastSave="{00000000-0000-0000-0000-000000000000}"/>
  <bookViews>
    <workbookView xWindow="15780" yWindow="0" windowWidth="13125" windowHeight="15585" tabRatio="500" activeTab="10" xr2:uid="{00000000-000D-0000-FFFF-FFFF00000000}"/>
  </bookViews>
  <sheets>
    <sheet name="Resumen" sheetId="2" r:id="rId1"/>
    <sheet name="Rural_2024" sheetId="3" r:id="rId2"/>
    <sheet name="Urbano_2024" sheetId="4" r:id="rId3"/>
    <sheet name="Rural_2025" sheetId="5" r:id="rId4"/>
    <sheet name="Urbano_2025" sheetId="6" r:id="rId5"/>
    <sheet name="Rural_2026" sheetId="7" r:id="rId6"/>
    <sheet name="Urbano_2026" sheetId="8" r:id="rId7"/>
    <sheet name="Por municipio" sheetId="9" r:id="rId8"/>
    <sheet name="CP_360" sheetId="10" r:id="rId9"/>
    <sheet name="Contraste" sheetId="11" r:id="rId10"/>
    <sheet name="Pagos" sheetId="14" r:id="rId11"/>
    <sheet name="Evidencia" sheetId="12" r:id="rId12"/>
    <sheet name="Cambios" sheetId="13" r:id="rId13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14" l="1"/>
  <c r="D25" i="14" s="1"/>
  <c r="B26" i="14"/>
  <c r="D26" i="14" s="1"/>
  <c r="B27" i="14"/>
  <c r="D27" i="14" s="1"/>
  <c r="J73" i="9"/>
  <c r="H73" i="9"/>
  <c r="F73" i="9"/>
  <c r="F72" i="9"/>
  <c r="F71" i="9"/>
  <c r="F69" i="9"/>
  <c r="F68" i="9"/>
  <c r="J67" i="9"/>
  <c r="H67" i="9"/>
  <c r="F67" i="9"/>
  <c r="F66" i="9"/>
  <c r="E65" i="9"/>
  <c r="F64" i="9"/>
  <c r="F63" i="9"/>
  <c r="F58" i="9"/>
  <c r="F57" i="9"/>
  <c r="F39" i="9"/>
  <c r="F35" i="9"/>
  <c r="J33" i="9"/>
  <c r="H33" i="9"/>
  <c r="F33" i="9"/>
  <c r="F28" i="9"/>
  <c r="J23" i="9"/>
  <c r="H23" i="9"/>
  <c r="F23" i="9"/>
  <c r="E22" i="9"/>
  <c r="J17" i="9"/>
  <c r="H17" i="9"/>
  <c r="F17" i="9"/>
  <c r="F16" i="9"/>
  <c r="E9" i="9"/>
  <c r="F8" i="9"/>
  <c r="E7" i="9"/>
  <c r="F5" i="9"/>
  <c r="L54" i="8"/>
  <c r="K54" i="8"/>
  <c r="E61" i="2" s="1"/>
  <c r="J54" i="8"/>
  <c r="E60" i="2" s="1"/>
  <c r="I54" i="8"/>
  <c r="E59" i="2" s="1"/>
  <c r="G54" i="8"/>
  <c r="F54" i="8"/>
  <c r="V53" i="8"/>
  <c r="N53" i="8"/>
  <c r="M53" i="8"/>
  <c r="H53" i="8"/>
  <c r="F9" i="9" s="1"/>
  <c r="V52" i="8"/>
  <c r="N52" i="8"/>
  <c r="M52" i="8"/>
  <c r="H52" i="8"/>
  <c r="F15" i="9" s="1"/>
  <c r="V51" i="8"/>
  <c r="N51" i="8"/>
  <c r="M51" i="8"/>
  <c r="H51" i="8"/>
  <c r="F40" i="9" s="1"/>
  <c r="V50" i="8"/>
  <c r="N50" i="8"/>
  <c r="M50" i="8"/>
  <c r="H50" i="8"/>
  <c r="V49" i="8"/>
  <c r="N49" i="8"/>
  <c r="M49" i="8"/>
  <c r="H49" i="8"/>
  <c r="V48" i="8"/>
  <c r="N48" i="8"/>
  <c r="M48" i="8"/>
  <c r="H48" i="8"/>
  <c r="V47" i="8"/>
  <c r="N47" i="8"/>
  <c r="M47" i="8"/>
  <c r="H47" i="8"/>
  <c r="V46" i="8"/>
  <c r="N46" i="8"/>
  <c r="M46" i="8"/>
  <c r="H46" i="8"/>
  <c r="V45" i="8"/>
  <c r="N45" i="8"/>
  <c r="M45" i="8"/>
  <c r="H45" i="8"/>
  <c r="F36" i="9" s="1"/>
  <c r="V44" i="8"/>
  <c r="N44" i="8"/>
  <c r="M44" i="8"/>
  <c r="H44" i="8"/>
  <c r="V43" i="8"/>
  <c r="N43" i="8"/>
  <c r="M43" i="8"/>
  <c r="H43" i="8"/>
  <c r="V42" i="8"/>
  <c r="N42" i="8"/>
  <c r="M42" i="8"/>
  <c r="H42" i="8"/>
  <c r="U42" i="8" s="1"/>
  <c r="V41" i="8"/>
  <c r="N41" i="8"/>
  <c r="M41" i="8"/>
  <c r="H41" i="8"/>
  <c r="V40" i="8"/>
  <c r="N40" i="8"/>
  <c r="M40" i="8"/>
  <c r="H40" i="8"/>
  <c r="U40" i="8" s="1"/>
  <c r="V39" i="8"/>
  <c r="N39" i="8"/>
  <c r="M39" i="8"/>
  <c r="H39" i="8"/>
  <c r="U39" i="8" s="1"/>
  <c r="V38" i="8"/>
  <c r="N38" i="8"/>
  <c r="M38" i="8"/>
  <c r="H38" i="8"/>
  <c r="V37" i="8"/>
  <c r="N37" i="8"/>
  <c r="M37" i="8"/>
  <c r="H37" i="8"/>
  <c r="F51" i="9" s="1"/>
  <c r="V36" i="8"/>
  <c r="N36" i="8"/>
  <c r="M36" i="8"/>
  <c r="H36" i="8"/>
  <c r="V35" i="8"/>
  <c r="N35" i="8"/>
  <c r="M35" i="8"/>
  <c r="H35" i="8"/>
  <c r="F50" i="9" s="1"/>
  <c r="V34" i="8"/>
  <c r="N34" i="8"/>
  <c r="M34" i="8"/>
  <c r="H34" i="8"/>
  <c r="F49" i="9" s="1"/>
  <c r="V33" i="8"/>
  <c r="N33" i="8"/>
  <c r="M33" i="8"/>
  <c r="H33" i="8"/>
  <c r="V32" i="8"/>
  <c r="N32" i="8"/>
  <c r="M32" i="8"/>
  <c r="H32" i="8"/>
  <c r="V31" i="8"/>
  <c r="N31" i="8"/>
  <c r="M31" i="8"/>
  <c r="H31" i="8"/>
  <c r="V30" i="8"/>
  <c r="N30" i="8"/>
  <c r="M30" i="8"/>
  <c r="H30" i="8"/>
  <c r="V29" i="8"/>
  <c r="N29" i="8"/>
  <c r="M29" i="8"/>
  <c r="H29" i="8"/>
  <c r="F7" i="9" s="1"/>
  <c r="V28" i="8"/>
  <c r="N28" i="8"/>
  <c r="M28" i="8"/>
  <c r="H28" i="8"/>
  <c r="V27" i="8"/>
  <c r="N27" i="8"/>
  <c r="M27" i="8"/>
  <c r="H27" i="8"/>
  <c r="F45" i="9" s="1"/>
  <c r="V26" i="8"/>
  <c r="N26" i="8"/>
  <c r="M26" i="8"/>
  <c r="H26" i="8"/>
  <c r="V25" i="8"/>
  <c r="N25" i="8"/>
  <c r="M25" i="8"/>
  <c r="H25" i="8"/>
  <c r="F18" i="9" s="1"/>
  <c r="V24" i="8"/>
  <c r="N24" i="8"/>
  <c r="M24" i="8"/>
  <c r="H24" i="8"/>
  <c r="V23" i="8"/>
  <c r="N23" i="8"/>
  <c r="M23" i="8"/>
  <c r="H23" i="8"/>
  <c r="V22" i="8"/>
  <c r="N22" i="8"/>
  <c r="M22" i="8"/>
  <c r="H22" i="8"/>
  <c r="U22" i="8" s="1"/>
  <c r="V21" i="8"/>
  <c r="N21" i="8"/>
  <c r="M21" i="8"/>
  <c r="H21" i="8"/>
  <c r="U21" i="8" s="1"/>
  <c r="V20" i="8"/>
  <c r="N20" i="8"/>
  <c r="M20" i="8"/>
  <c r="H20" i="8"/>
  <c r="U20" i="8" s="1"/>
  <c r="V19" i="8"/>
  <c r="N19" i="8"/>
  <c r="M19" i="8"/>
  <c r="H19" i="8"/>
  <c r="U19" i="8" s="1"/>
  <c r="V18" i="8"/>
  <c r="N18" i="8"/>
  <c r="M18" i="8"/>
  <c r="H18" i="8"/>
  <c r="F26" i="9" s="1"/>
  <c r="V17" i="8"/>
  <c r="N17" i="8"/>
  <c r="M17" i="8"/>
  <c r="H17" i="8"/>
  <c r="F41" i="9" s="1"/>
  <c r="V16" i="8"/>
  <c r="N16" i="8"/>
  <c r="M16" i="8"/>
  <c r="H16" i="8"/>
  <c r="F25" i="9" s="1"/>
  <c r="V15" i="8"/>
  <c r="N15" i="8"/>
  <c r="M15" i="8"/>
  <c r="H15" i="8"/>
  <c r="F24" i="9" s="1"/>
  <c r="V14" i="8"/>
  <c r="N14" i="8"/>
  <c r="M14" i="8"/>
  <c r="H14" i="8"/>
  <c r="U14" i="8" s="1"/>
  <c r="S22" i="9" s="1"/>
  <c r="V13" i="8"/>
  <c r="N13" i="8"/>
  <c r="M13" i="8"/>
  <c r="H13" i="8"/>
  <c r="F55" i="9" s="1"/>
  <c r="V12" i="8"/>
  <c r="N12" i="8"/>
  <c r="M12" i="8"/>
  <c r="H12" i="8"/>
  <c r="V11" i="8"/>
  <c r="N11" i="8"/>
  <c r="M11" i="8"/>
  <c r="H11" i="8"/>
  <c r="F53" i="9" s="1"/>
  <c r="V10" i="8"/>
  <c r="N10" i="8"/>
  <c r="M10" i="8"/>
  <c r="H10" i="8"/>
  <c r="F65" i="9" s="1"/>
  <c r="V9" i="8"/>
  <c r="N9" i="8"/>
  <c r="M9" i="8"/>
  <c r="H9" i="8"/>
  <c r="V8" i="8"/>
  <c r="N8" i="8"/>
  <c r="M8" i="8"/>
  <c r="H8" i="8"/>
  <c r="F32" i="9" s="1"/>
  <c r="V7" i="8"/>
  <c r="N7" i="8"/>
  <c r="M7" i="8"/>
  <c r="H7" i="8"/>
  <c r="V6" i="8"/>
  <c r="N6" i="8"/>
  <c r="M6" i="8"/>
  <c r="H6" i="8"/>
  <c r="V5" i="8"/>
  <c r="N5" i="8"/>
  <c r="M5" i="8"/>
  <c r="H5" i="8"/>
  <c r="U5" i="8" s="1"/>
  <c r="K73" i="7"/>
  <c r="J73" i="7"/>
  <c r="I73" i="7"/>
  <c r="L70" i="7"/>
  <c r="K70" i="7"/>
  <c r="E33" i="2" s="1"/>
  <c r="J70" i="7"/>
  <c r="E32" i="2" s="1"/>
  <c r="I70" i="7"/>
  <c r="E31" i="2" s="1"/>
  <c r="G70" i="7"/>
  <c r="F70" i="7"/>
  <c r="V69" i="7"/>
  <c r="H69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H68" i="7"/>
  <c r="U68" i="7" s="1"/>
  <c r="S73" i="9" s="1"/>
  <c r="V67" i="7"/>
  <c r="H67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H66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H65" i="7"/>
  <c r="U65" i="7" s="1"/>
  <c r="S33" i="9" s="1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H64" i="7"/>
  <c r="U64" i="7" s="1"/>
  <c r="V63" i="7"/>
  <c r="H63" i="7"/>
  <c r="U63" i="7" s="1"/>
  <c r="S17" i="9" s="1"/>
  <c r="V62" i="7"/>
  <c r="H62" i="7"/>
  <c r="E26" i="9" s="1"/>
  <c r="Z61" i="7"/>
  <c r="Y61" i="7"/>
  <c r="X61" i="7"/>
  <c r="W61" i="7"/>
  <c r="V61" i="7"/>
  <c r="H61" i="7"/>
  <c r="E15" i="9" s="1"/>
  <c r="V60" i="7"/>
  <c r="H60" i="7"/>
  <c r="E40" i="9" s="1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H59" i="7"/>
  <c r="E39" i="9" s="1"/>
  <c r="V58" i="7"/>
  <c r="H58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H57" i="7"/>
  <c r="E72" i="9" s="1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H56" i="7"/>
  <c r="U56" i="7" s="1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H55" i="7"/>
  <c r="U55" i="7" s="1"/>
  <c r="S8" i="9" s="1"/>
  <c r="AH54" i="7"/>
  <c r="AG54" i="7"/>
  <c r="AF54" i="7"/>
  <c r="AE54" i="7"/>
  <c r="V54" i="7"/>
  <c r="H54" i="7"/>
  <c r="E21" i="9" s="1"/>
  <c r="AD53" i="7"/>
  <c r="AC53" i="7"/>
  <c r="AB53" i="7"/>
  <c r="AA53" i="7"/>
  <c r="Z53" i="7"/>
  <c r="Y53" i="7"/>
  <c r="X53" i="7"/>
  <c r="W53" i="7"/>
  <c r="V53" i="7"/>
  <c r="H53" i="7"/>
  <c r="E37" i="9" s="1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H52" i="7"/>
  <c r="E20" i="9" s="1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H51" i="7"/>
  <c r="E36" i="9" s="1"/>
  <c r="V50" i="7"/>
  <c r="H50" i="7"/>
  <c r="U50" i="7" s="1"/>
  <c r="S71" i="9" s="1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H49" i="7"/>
  <c r="V48" i="7"/>
  <c r="H48" i="7"/>
  <c r="U48" i="7" s="1"/>
  <c r="S35" i="9" s="1"/>
  <c r="V47" i="7"/>
  <c r="H47" i="7"/>
  <c r="V46" i="7"/>
  <c r="H46" i="7"/>
  <c r="E19" i="9" s="1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H45" i="7"/>
  <c r="E14" i="9" s="1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H44" i="7"/>
  <c r="U44" i="7" s="1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H43" i="7"/>
  <c r="U43" i="7" s="1"/>
  <c r="V42" i="7"/>
  <c r="H42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H41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H40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H39" i="7"/>
  <c r="E68" i="9" s="1"/>
  <c r="AH38" i="7"/>
  <c r="AG38" i="7"/>
  <c r="AF38" i="7"/>
  <c r="AE38" i="7"/>
  <c r="V38" i="7"/>
  <c r="H38" i="7"/>
  <c r="E11" i="9" s="1"/>
  <c r="V37" i="7"/>
  <c r="H37" i="7"/>
  <c r="U37" i="7" s="1"/>
  <c r="V36" i="7"/>
  <c r="H36" i="7"/>
  <c r="U36" i="7" s="1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H35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H34" i="7"/>
  <c r="U34" i="7" s="1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H33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H32" i="7"/>
  <c r="V31" i="7"/>
  <c r="H31" i="7"/>
  <c r="U31" i="7" s="1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H30" i="7"/>
  <c r="U30" i="7" s="1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H29" i="7"/>
  <c r="U29" i="7" s="1"/>
  <c r="AD28" i="7"/>
  <c r="AC28" i="7"/>
  <c r="AB28" i="7"/>
  <c r="AA28" i="7"/>
  <c r="Z28" i="7"/>
  <c r="Y28" i="7"/>
  <c r="X28" i="7"/>
  <c r="W28" i="7"/>
  <c r="V28" i="7"/>
  <c r="H28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H27" i="7"/>
  <c r="AD26" i="7"/>
  <c r="AC26" i="7"/>
  <c r="AB26" i="7"/>
  <c r="AA26" i="7"/>
  <c r="Z26" i="7"/>
  <c r="Y26" i="7"/>
  <c r="X26" i="7"/>
  <c r="W26" i="7"/>
  <c r="V26" i="7"/>
  <c r="H26" i="7"/>
  <c r="U26" i="7" s="1"/>
  <c r="S5" i="9" s="1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H25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H24" i="7"/>
  <c r="V23" i="7"/>
  <c r="H23" i="7"/>
  <c r="V22" i="7"/>
  <c r="H22" i="7"/>
  <c r="U22" i="7" s="1"/>
  <c r="S28" i="9" s="1"/>
  <c r="V21" i="7"/>
  <c r="H21" i="7"/>
  <c r="U21" i="7" s="1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H20" i="7"/>
  <c r="E42" i="9" s="1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H19" i="7"/>
  <c r="E16" i="9" s="1"/>
  <c r="V18" i="7"/>
  <c r="H18" i="7"/>
  <c r="U18" i="7" s="1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H17" i="7"/>
  <c r="E57" i="9" s="1"/>
  <c r="V16" i="7"/>
  <c r="H16" i="7"/>
  <c r="E25" i="9" s="1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H15" i="7"/>
  <c r="V14" i="7"/>
  <c r="H14" i="7"/>
  <c r="V13" i="7"/>
  <c r="H13" i="7"/>
  <c r="E53" i="9" s="1"/>
  <c r="V12" i="7"/>
  <c r="H12" i="7"/>
  <c r="U12" i="7" s="1"/>
  <c r="S64" i="9" s="1"/>
  <c r="V11" i="7"/>
  <c r="H11" i="7"/>
  <c r="V10" i="7"/>
  <c r="H10" i="7"/>
  <c r="E58" i="9" s="1"/>
  <c r="AD9" i="7"/>
  <c r="AC9" i="7"/>
  <c r="AB9" i="7"/>
  <c r="AA9" i="7"/>
  <c r="Z9" i="7"/>
  <c r="Y9" i="7"/>
  <c r="X9" i="7"/>
  <c r="W9" i="7"/>
  <c r="V9" i="7"/>
  <c r="H9" i="7"/>
  <c r="E32" i="9" s="1"/>
  <c r="V8" i="7"/>
  <c r="H8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H7" i="7"/>
  <c r="AH6" i="7"/>
  <c r="AG6" i="7"/>
  <c r="AF6" i="7"/>
  <c r="AE6" i="7"/>
  <c r="V6" i="7"/>
  <c r="H6" i="7"/>
  <c r="U6" i="7" s="1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H5" i="7"/>
  <c r="E59" i="9" s="1"/>
  <c r="L54" i="6"/>
  <c r="K54" i="6"/>
  <c r="D61" i="2" s="1"/>
  <c r="J54" i="6"/>
  <c r="D60" i="2" s="1"/>
  <c r="I54" i="6"/>
  <c r="D59" i="2" s="1"/>
  <c r="G54" i="6"/>
  <c r="F54" i="6"/>
  <c r="V53" i="6"/>
  <c r="N53" i="6"/>
  <c r="M53" i="6"/>
  <c r="H53" i="6"/>
  <c r="U53" i="6" s="1"/>
  <c r="V52" i="6"/>
  <c r="N52" i="6"/>
  <c r="M52" i="6"/>
  <c r="H52" i="6"/>
  <c r="V51" i="6"/>
  <c r="N51" i="6"/>
  <c r="M51" i="6"/>
  <c r="H51" i="6"/>
  <c r="V50" i="6"/>
  <c r="N50" i="6"/>
  <c r="M50" i="6"/>
  <c r="H50" i="6"/>
  <c r="U50" i="6" s="1"/>
  <c r="V49" i="6"/>
  <c r="N49" i="6"/>
  <c r="M49" i="6"/>
  <c r="H49" i="6"/>
  <c r="V48" i="6"/>
  <c r="N48" i="6"/>
  <c r="M48" i="6"/>
  <c r="H48" i="6"/>
  <c r="V47" i="6"/>
  <c r="N47" i="6"/>
  <c r="M47" i="6"/>
  <c r="H47" i="6"/>
  <c r="U47" i="6" s="1"/>
  <c r="V46" i="6"/>
  <c r="N46" i="6"/>
  <c r="M46" i="6"/>
  <c r="H46" i="6"/>
  <c r="V45" i="6"/>
  <c r="N45" i="6"/>
  <c r="M45" i="6"/>
  <c r="H45" i="6"/>
  <c r="U45" i="6" s="1"/>
  <c r="V44" i="6"/>
  <c r="N44" i="6"/>
  <c r="M44" i="6"/>
  <c r="H44" i="6"/>
  <c r="U44" i="6" s="1"/>
  <c r="V43" i="6"/>
  <c r="N43" i="6"/>
  <c r="M43" i="6"/>
  <c r="H43" i="6"/>
  <c r="U43" i="6" s="1"/>
  <c r="V42" i="6"/>
  <c r="N42" i="6"/>
  <c r="M42" i="6"/>
  <c r="H42" i="6"/>
  <c r="U42" i="6" s="1"/>
  <c r="V41" i="6"/>
  <c r="N41" i="6"/>
  <c r="M41" i="6"/>
  <c r="H41" i="6"/>
  <c r="V40" i="6"/>
  <c r="N40" i="6"/>
  <c r="M40" i="6"/>
  <c r="H40" i="6"/>
  <c r="U40" i="6" s="1"/>
  <c r="V39" i="6"/>
  <c r="N39" i="6"/>
  <c r="M39" i="6"/>
  <c r="H39" i="6"/>
  <c r="V38" i="6"/>
  <c r="N38" i="6"/>
  <c r="M38" i="6"/>
  <c r="H38" i="6"/>
  <c r="U38" i="6" s="1"/>
  <c r="V37" i="6"/>
  <c r="N37" i="6"/>
  <c r="M37" i="6"/>
  <c r="H37" i="6"/>
  <c r="U37" i="6" s="1"/>
  <c r="V36" i="6"/>
  <c r="N36" i="6"/>
  <c r="M36" i="6"/>
  <c r="H36" i="6"/>
  <c r="V35" i="6"/>
  <c r="N35" i="6"/>
  <c r="M35" i="6"/>
  <c r="H35" i="6"/>
  <c r="V34" i="6"/>
  <c r="N34" i="6"/>
  <c r="M34" i="6"/>
  <c r="H34" i="6"/>
  <c r="U34" i="6" s="1"/>
  <c r="V33" i="6"/>
  <c r="N33" i="6"/>
  <c r="M33" i="6"/>
  <c r="H33" i="6"/>
  <c r="V32" i="6"/>
  <c r="N32" i="6"/>
  <c r="M32" i="6"/>
  <c r="H32" i="6"/>
  <c r="V31" i="6"/>
  <c r="N31" i="6"/>
  <c r="M31" i="6"/>
  <c r="H31" i="6"/>
  <c r="U31" i="6" s="1"/>
  <c r="V30" i="6"/>
  <c r="N30" i="6"/>
  <c r="M30" i="6"/>
  <c r="H30" i="6"/>
  <c r="V29" i="6"/>
  <c r="N29" i="6"/>
  <c r="M29" i="6"/>
  <c r="H29" i="6"/>
  <c r="U29" i="6" s="1"/>
  <c r="V28" i="6"/>
  <c r="N28" i="6"/>
  <c r="M28" i="6"/>
  <c r="H28" i="6"/>
  <c r="V27" i="6"/>
  <c r="N27" i="6"/>
  <c r="M27" i="6"/>
  <c r="H27" i="6"/>
  <c r="V26" i="6"/>
  <c r="N26" i="6"/>
  <c r="M26" i="6"/>
  <c r="H26" i="6"/>
  <c r="V25" i="6"/>
  <c r="N25" i="6"/>
  <c r="M25" i="6"/>
  <c r="H25" i="6"/>
  <c r="V24" i="6"/>
  <c r="N24" i="6"/>
  <c r="M24" i="6"/>
  <c r="H24" i="6"/>
  <c r="V23" i="6"/>
  <c r="N23" i="6"/>
  <c r="M23" i="6"/>
  <c r="H23" i="6"/>
  <c r="U23" i="6" s="1"/>
  <c r="V22" i="6"/>
  <c r="N22" i="6"/>
  <c r="M22" i="6"/>
  <c r="H22" i="6"/>
  <c r="U22" i="6" s="1"/>
  <c r="V21" i="6"/>
  <c r="N21" i="6"/>
  <c r="M21" i="6"/>
  <c r="H21" i="6"/>
  <c r="V20" i="6"/>
  <c r="N20" i="6"/>
  <c r="M20" i="6"/>
  <c r="H20" i="6"/>
  <c r="V19" i="6"/>
  <c r="N19" i="6"/>
  <c r="M19" i="6"/>
  <c r="H19" i="6"/>
  <c r="V18" i="6"/>
  <c r="N18" i="6"/>
  <c r="M18" i="6"/>
  <c r="H18" i="6"/>
  <c r="V17" i="6"/>
  <c r="N17" i="6"/>
  <c r="M17" i="6"/>
  <c r="H17" i="6"/>
  <c r="V16" i="6"/>
  <c r="N16" i="6"/>
  <c r="M16" i="6"/>
  <c r="H16" i="6"/>
  <c r="V15" i="6"/>
  <c r="N15" i="6"/>
  <c r="M15" i="6"/>
  <c r="H15" i="6"/>
  <c r="U15" i="6" s="1"/>
  <c r="V14" i="6"/>
  <c r="N14" i="6"/>
  <c r="M14" i="6"/>
  <c r="H14" i="6"/>
  <c r="U14" i="6" s="1"/>
  <c r="V13" i="6"/>
  <c r="N13" i="6"/>
  <c r="M13" i="6"/>
  <c r="H13" i="6"/>
  <c r="V12" i="6"/>
  <c r="N12" i="6"/>
  <c r="M12" i="6"/>
  <c r="H12" i="6"/>
  <c r="U12" i="6" s="1"/>
  <c r="V11" i="6"/>
  <c r="N11" i="6"/>
  <c r="M11" i="6"/>
  <c r="H11" i="6"/>
  <c r="U11" i="6" s="1"/>
  <c r="V10" i="6"/>
  <c r="N10" i="6"/>
  <c r="M10" i="6"/>
  <c r="H10" i="6"/>
  <c r="U10" i="6" s="1"/>
  <c r="V9" i="6"/>
  <c r="N9" i="6"/>
  <c r="M9" i="6"/>
  <c r="H9" i="6"/>
  <c r="V8" i="6"/>
  <c r="N8" i="6"/>
  <c r="M8" i="6"/>
  <c r="H8" i="6"/>
  <c r="U8" i="6" s="1"/>
  <c r="V7" i="6"/>
  <c r="N7" i="6"/>
  <c r="M7" i="6"/>
  <c r="H7" i="6"/>
  <c r="U7" i="6" s="1"/>
  <c r="V6" i="6"/>
  <c r="N6" i="6"/>
  <c r="M6" i="6"/>
  <c r="H6" i="6"/>
  <c r="V5" i="6"/>
  <c r="N5" i="6"/>
  <c r="M5" i="6"/>
  <c r="H5" i="6"/>
  <c r="K73" i="5"/>
  <c r="J73" i="5"/>
  <c r="I73" i="5"/>
  <c r="L70" i="5"/>
  <c r="K70" i="5"/>
  <c r="D33" i="2" s="1"/>
  <c r="J70" i="5"/>
  <c r="D32" i="2" s="1"/>
  <c r="I70" i="5"/>
  <c r="D31" i="2" s="1"/>
  <c r="G70" i="5"/>
  <c r="F70" i="5"/>
  <c r="V69" i="5"/>
  <c r="H69" i="5"/>
  <c r="U69" i="5" s="1"/>
  <c r="V68" i="5"/>
  <c r="H68" i="5"/>
  <c r="U68" i="5" s="1"/>
  <c r="V67" i="5"/>
  <c r="H67" i="5"/>
  <c r="U67" i="5" s="1"/>
  <c r="V66" i="5"/>
  <c r="H66" i="5"/>
  <c r="U66" i="5" s="1"/>
  <c r="AD65" i="5"/>
  <c r="AC65" i="5"/>
  <c r="AB65" i="5"/>
  <c r="AA65" i="5"/>
  <c r="Z65" i="5"/>
  <c r="Y65" i="5"/>
  <c r="X65" i="5"/>
  <c r="W65" i="5"/>
  <c r="V65" i="5"/>
  <c r="H65" i="5"/>
  <c r="AD64" i="5"/>
  <c r="AC64" i="5"/>
  <c r="AB64" i="5"/>
  <c r="AA64" i="5"/>
  <c r="Z64" i="5"/>
  <c r="Y64" i="5"/>
  <c r="X64" i="5"/>
  <c r="W64" i="5"/>
  <c r="V64" i="5"/>
  <c r="H64" i="5"/>
  <c r="U64" i="5" s="1"/>
  <c r="V63" i="5"/>
  <c r="H63" i="5"/>
  <c r="V62" i="5"/>
  <c r="H62" i="5"/>
  <c r="U62" i="5" s="1"/>
  <c r="AH61" i="5"/>
  <c r="AG61" i="5"/>
  <c r="AF61" i="5"/>
  <c r="AE61" i="5"/>
  <c r="V61" i="5"/>
  <c r="H61" i="5"/>
  <c r="U61" i="5" s="1"/>
  <c r="AH60" i="5"/>
  <c r="AG60" i="5"/>
  <c r="AF60" i="5"/>
  <c r="AE60" i="5"/>
  <c r="V60" i="5"/>
  <c r="H60" i="5"/>
  <c r="V59" i="5"/>
  <c r="H59" i="5"/>
  <c r="AH58" i="5"/>
  <c r="AG58" i="5"/>
  <c r="AF58" i="5"/>
  <c r="AE58" i="5"/>
  <c r="V58" i="5"/>
  <c r="H58" i="5"/>
  <c r="V57" i="5"/>
  <c r="H57" i="5"/>
  <c r="AH56" i="5"/>
  <c r="AG56" i="5"/>
  <c r="AF56" i="5"/>
  <c r="AE56" i="5"/>
  <c r="V56" i="5"/>
  <c r="H56" i="5"/>
  <c r="V55" i="5"/>
  <c r="H55" i="5"/>
  <c r="AH54" i="5"/>
  <c r="AG54" i="5"/>
  <c r="AF54" i="5"/>
  <c r="AE54" i="5"/>
  <c r="V54" i="5"/>
  <c r="H54" i="5"/>
  <c r="U54" i="5" s="1"/>
  <c r="V53" i="5"/>
  <c r="H53" i="5"/>
  <c r="U53" i="5" s="1"/>
  <c r="Z52" i="5"/>
  <c r="Y52" i="5"/>
  <c r="X52" i="5"/>
  <c r="W52" i="5"/>
  <c r="V52" i="5"/>
  <c r="H52" i="5"/>
  <c r="V51" i="5"/>
  <c r="H51" i="5"/>
  <c r="U51" i="5" s="1"/>
  <c r="V50" i="5"/>
  <c r="H50" i="5"/>
  <c r="U50" i="5" s="1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H49" i="5"/>
  <c r="U49" i="5" s="1"/>
  <c r="V48" i="5"/>
  <c r="H48" i="5"/>
  <c r="U48" i="5" s="1"/>
  <c r="V47" i="5"/>
  <c r="H47" i="5"/>
  <c r="U47" i="5" s="1"/>
  <c r="AH46" i="5"/>
  <c r="AG46" i="5"/>
  <c r="AF46" i="5"/>
  <c r="AE46" i="5"/>
  <c r="V46" i="5"/>
  <c r="H46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H45" i="5"/>
  <c r="U45" i="5" s="1"/>
  <c r="AD44" i="5"/>
  <c r="AC44" i="5"/>
  <c r="AB44" i="5"/>
  <c r="AA44" i="5"/>
  <c r="Z44" i="5"/>
  <c r="Y44" i="5"/>
  <c r="X44" i="5"/>
  <c r="W44" i="5"/>
  <c r="V44" i="5"/>
  <c r="H44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H43" i="5"/>
  <c r="V42" i="5"/>
  <c r="H42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H41" i="5"/>
  <c r="AD40" i="5"/>
  <c r="AC40" i="5"/>
  <c r="AB40" i="5"/>
  <c r="AA40" i="5"/>
  <c r="Z40" i="5"/>
  <c r="Y40" i="5"/>
  <c r="X40" i="5"/>
  <c r="W40" i="5"/>
  <c r="V40" i="5"/>
  <c r="H40" i="5"/>
  <c r="V39" i="5"/>
  <c r="H39" i="5"/>
  <c r="V38" i="5"/>
  <c r="H38" i="5"/>
  <c r="AH37" i="5"/>
  <c r="AG37" i="5"/>
  <c r="AF37" i="5"/>
  <c r="AE37" i="5"/>
  <c r="V37" i="5"/>
  <c r="H37" i="5"/>
  <c r="U37" i="5" s="1"/>
  <c r="AH36" i="5"/>
  <c r="AG36" i="5"/>
  <c r="AF36" i="5"/>
  <c r="AE36" i="5"/>
  <c r="V36" i="5"/>
  <c r="H36" i="5"/>
  <c r="V35" i="5"/>
  <c r="H35" i="5"/>
  <c r="V34" i="5"/>
  <c r="H34" i="5"/>
  <c r="V33" i="5"/>
  <c r="H33" i="5"/>
  <c r="U33" i="5" s="1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H32" i="5"/>
  <c r="V31" i="5"/>
  <c r="H31" i="5"/>
  <c r="U31" i="5" s="1"/>
  <c r="V30" i="5"/>
  <c r="H30" i="5"/>
  <c r="U30" i="5" s="1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H29" i="5"/>
  <c r="V28" i="5"/>
  <c r="H28" i="5"/>
  <c r="V27" i="5"/>
  <c r="H27" i="5"/>
  <c r="V26" i="5"/>
  <c r="H26" i="5"/>
  <c r="V25" i="5"/>
  <c r="H25" i="5"/>
  <c r="U25" i="5" s="1"/>
  <c r="V24" i="5"/>
  <c r="H24" i="5"/>
  <c r="AH23" i="5"/>
  <c r="AG23" i="5"/>
  <c r="AF23" i="5"/>
  <c r="AE23" i="5"/>
  <c r="V23" i="5"/>
  <c r="H23" i="5"/>
  <c r="V22" i="5"/>
  <c r="H22" i="5"/>
  <c r="AH21" i="5"/>
  <c r="AG21" i="5"/>
  <c r="AF21" i="5"/>
  <c r="AE21" i="5"/>
  <c r="V21" i="5"/>
  <c r="H21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H20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H19" i="5"/>
  <c r="V18" i="5"/>
  <c r="H18" i="5"/>
  <c r="U18" i="5" s="1"/>
  <c r="AD17" i="5"/>
  <c r="AC17" i="5"/>
  <c r="AB17" i="5"/>
  <c r="AA17" i="5"/>
  <c r="V17" i="5"/>
  <c r="H17" i="5"/>
  <c r="U17" i="5" s="1"/>
  <c r="AH16" i="5"/>
  <c r="AG16" i="5"/>
  <c r="AF16" i="5"/>
  <c r="AE16" i="5"/>
  <c r="V16" i="5"/>
  <c r="H16" i="5"/>
  <c r="U16" i="5" s="1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H15" i="5"/>
  <c r="U15" i="5" s="1"/>
  <c r="AH14" i="5"/>
  <c r="AG14" i="5"/>
  <c r="AF14" i="5"/>
  <c r="AE14" i="5"/>
  <c r="V14" i="5"/>
  <c r="H14" i="5"/>
  <c r="U14" i="5" s="1"/>
  <c r="AH13" i="5"/>
  <c r="AG13" i="5"/>
  <c r="AF13" i="5"/>
  <c r="AE13" i="5"/>
  <c r="V13" i="5"/>
  <c r="H13" i="5"/>
  <c r="V12" i="5"/>
  <c r="H12" i="5"/>
  <c r="V11" i="5"/>
  <c r="H11" i="5"/>
  <c r="U11" i="5" s="1"/>
  <c r="AH10" i="5"/>
  <c r="AG10" i="5"/>
  <c r="AF10" i="5"/>
  <c r="AE10" i="5"/>
  <c r="V10" i="5"/>
  <c r="H10" i="5"/>
  <c r="V9" i="5"/>
  <c r="H9" i="5"/>
  <c r="AD8" i="5"/>
  <c r="AC8" i="5"/>
  <c r="AB8" i="5"/>
  <c r="AA8" i="5"/>
  <c r="Z8" i="5"/>
  <c r="Y8" i="5"/>
  <c r="X8" i="5"/>
  <c r="W8" i="5"/>
  <c r="V8" i="5"/>
  <c r="H8" i="5"/>
  <c r="U8" i="5" s="1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H7" i="5"/>
  <c r="AH6" i="5"/>
  <c r="AG6" i="5"/>
  <c r="AF6" i="5"/>
  <c r="AE6" i="5"/>
  <c r="V6" i="5"/>
  <c r="H6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H5" i="5"/>
  <c r="K54" i="4"/>
  <c r="C61" i="2" s="1"/>
  <c r="J54" i="4"/>
  <c r="C60" i="2" s="1"/>
  <c r="I54" i="4"/>
  <c r="C59" i="2" s="1"/>
  <c r="G54" i="4"/>
  <c r="F54" i="4"/>
  <c r="X53" i="4"/>
  <c r="W53" i="4"/>
  <c r="U53" i="4"/>
  <c r="Q53" i="4"/>
  <c r="N53" i="4"/>
  <c r="H53" i="4"/>
  <c r="X52" i="4"/>
  <c r="W52" i="4"/>
  <c r="U52" i="4"/>
  <c r="N52" i="4"/>
  <c r="Q52" i="4" s="1"/>
  <c r="H52" i="4"/>
  <c r="X51" i="4"/>
  <c r="W51" i="4"/>
  <c r="U51" i="4"/>
  <c r="N51" i="4"/>
  <c r="H51" i="4"/>
  <c r="X50" i="4"/>
  <c r="W50" i="4"/>
  <c r="U50" i="4"/>
  <c r="Q50" i="4"/>
  <c r="N50" i="4"/>
  <c r="T50" i="4" s="1"/>
  <c r="H50" i="4"/>
  <c r="X49" i="4"/>
  <c r="W49" i="4"/>
  <c r="U49" i="4"/>
  <c r="Q49" i="4"/>
  <c r="N49" i="4"/>
  <c r="Y49" i="4" s="1"/>
  <c r="H49" i="4"/>
  <c r="X48" i="4"/>
  <c r="W48" i="4"/>
  <c r="U48" i="4"/>
  <c r="Q48" i="4"/>
  <c r="N48" i="4"/>
  <c r="Y48" i="4" s="1"/>
  <c r="H48" i="4"/>
  <c r="X47" i="4"/>
  <c r="W47" i="4"/>
  <c r="U47" i="4"/>
  <c r="N47" i="4"/>
  <c r="H47" i="4"/>
  <c r="X46" i="4"/>
  <c r="W46" i="4"/>
  <c r="U46" i="4"/>
  <c r="N46" i="4"/>
  <c r="Q46" i="4" s="1"/>
  <c r="H46" i="4"/>
  <c r="X45" i="4"/>
  <c r="W45" i="4"/>
  <c r="U45" i="4"/>
  <c r="N45" i="4"/>
  <c r="H45" i="4"/>
  <c r="X44" i="4"/>
  <c r="W44" i="4"/>
  <c r="U44" i="4"/>
  <c r="N44" i="4"/>
  <c r="T44" i="4" s="1"/>
  <c r="H44" i="4"/>
  <c r="X43" i="4"/>
  <c r="W43" i="4"/>
  <c r="U43" i="4"/>
  <c r="Q43" i="4"/>
  <c r="N43" i="4"/>
  <c r="T43" i="4" s="1"/>
  <c r="H43" i="4"/>
  <c r="X42" i="4"/>
  <c r="W42" i="4"/>
  <c r="U42" i="4"/>
  <c r="N42" i="4"/>
  <c r="Y42" i="4" s="1"/>
  <c r="H42" i="4"/>
  <c r="X41" i="4"/>
  <c r="W41" i="4"/>
  <c r="U41" i="4"/>
  <c r="Q41" i="4"/>
  <c r="N41" i="4"/>
  <c r="Y41" i="4" s="1"/>
  <c r="H41" i="4"/>
  <c r="X40" i="4"/>
  <c r="W40" i="4"/>
  <c r="U40" i="4"/>
  <c r="Q40" i="4"/>
  <c r="N40" i="4"/>
  <c r="H40" i="4"/>
  <c r="X39" i="4"/>
  <c r="W39" i="4"/>
  <c r="U39" i="4"/>
  <c r="Q39" i="4"/>
  <c r="N39" i="4"/>
  <c r="H39" i="4"/>
  <c r="X38" i="4"/>
  <c r="W38" i="4"/>
  <c r="U38" i="4"/>
  <c r="Q38" i="4"/>
  <c r="N38" i="4"/>
  <c r="S38" i="4" s="1"/>
  <c r="H38" i="4"/>
  <c r="X37" i="4"/>
  <c r="W37" i="4"/>
  <c r="U37" i="4"/>
  <c r="Q37" i="4"/>
  <c r="N37" i="4"/>
  <c r="Y37" i="4" s="1"/>
  <c r="H37" i="4"/>
  <c r="X36" i="4"/>
  <c r="W36" i="4"/>
  <c r="U36" i="4"/>
  <c r="Q36" i="4"/>
  <c r="N36" i="4"/>
  <c r="Y36" i="4" s="1"/>
  <c r="H36" i="4"/>
  <c r="X35" i="4"/>
  <c r="W35" i="4"/>
  <c r="U35" i="4"/>
  <c r="Q35" i="4"/>
  <c r="N35" i="4"/>
  <c r="Y35" i="4" s="1"/>
  <c r="H35" i="4"/>
  <c r="X34" i="4"/>
  <c r="W34" i="4"/>
  <c r="U34" i="4"/>
  <c r="Q34" i="4"/>
  <c r="N34" i="4"/>
  <c r="H34" i="4"/>
  <c r="X33" i="4"/>
  <c r="W33" i="4"/>
  <c r="U33" i="4"/>
  <c r="Q33" i="4"/>
  <c r="N33" i="4"/>
  <c r="T33" i="4" s="1"/>
  <c r="H33" i="4"/>
  <c r="X32" i="4"/>
  <c r="W32" i="4"/>
  <c r="U32" i="4"/>
  <c r="N32" i="4"/>
  <c r="Y32" i="4" s="1"/>
  <c r="H32" i="4"/>
  <c r="X31" i="4"/>
  <c r="W31" i="4"/>
  <c r="U31" i="4"/>
  <c r="Q31" i="4"/>
  <c r="N31" i="4"/>
  <c r="S31" i="4" s="1"/>
  <c r="H31" i="4"/>
  <c r="X30" i="4"/>
  <c r="W30" i="4"/>
  <c r="U30" i="4"/>
  <c r="N30" i="4"/>
  <c r="T30" i="4" s="1"/>
  <c r="H30" i="4"/>
  <c r="X29" i="4"/>
  <c r="W29" i="4"/>
  <c r="U29" i="4"/>
  <c r="N29" i="4"/>
  <c r="T29" i="4" s="1"/>
  <c r="H29" i="4"/>
  <c r="X28" i="4"/>
  <c r="W28" i="4"/>
  <c r="U28" i="4"/>
  <c r="Q28" i="4"/>
  <c r="N28" i="4"/>
  <c r="Y28" i="4" s="1"/>
  <c r="H28" i="4"/>
  <c r="X27" i="4"/>
  <c r="W27" i="4"/>
  <c r="U27" i="4"/>
  <c r="Q27" i="4"/>
  <c r="N27" i="4"/>
  <c r="H27" i="4"/>
  <c r="X26" i="4"/>
  <c r="W26" i="4"/>
  <c r="U26" i="4"/>
  <c r="Q26" i="4"/>
  <c r="N26" i="4"/>
  <c r="H26" i="4"/>
  <c r="X25" i="4"/>
  <c r="W25" i="4"/>
  <c r="U25" i="4"/>
  <c r="N25" i="4"/>
  <c r="Q25" i="4" s="1"/>
  <c r="H25" i="4"/>
  <c r="X24" i="4"/>
  <c r="W24" i="4"/>
  <c r="U24" i="4"/>
  <c r="Q24" i="4"/>
  <c r="N24" i="4"/>
  <c r="T24" i="4" s="1"/>
  <c r="H24" i="4"/>
  <c r="X23" i="4"/>
  <c r="W23" i="4"/>
  <c r="U23" i="4"/>
  <c r="Q23" i="4"/>
  <c r="N23" i="4"/>
  <c r="H23" i="4"/>
  <c r="X22" i="4"/>
  <c r="W22" i="4"/>
  <c r="U22" i="4"/>
  <c r="Q22" i="4"/>
  <c r="N22" i="4"/>
  <c r="Y22" i="4" s="1"/>
  <c r="H22" i="4"/>
  <c r="X21" i="4"/>
  <c r="W21" i="4"/>
  <c r="U21" i="4"/>
  <c r="Q21" i="4"/>
  <c r="N21" i="4"/>
  <c r="Y21" i="4" s="1"/>
  <c r="H21" i="4"/>
  <c r="X20" i="4"/>
  <c r="W20" i="4"/>
  <c r="U20" i="4"/>
  <c r="N20" i="4"/>
  <c r="Y20" i="4" s="1"/>
  <c r="H20" i="4"/>
  <c r="X19" i="4"/>
  <c r="W19" i="4"/>
  <c r="U19" i="4"/>
  <c r="Q19" i="4"/>
  <c r="N19" i="4"/>
  <c r="Y19" i="4" s="1"/>
  <c r="H19" i="4"/>
  <c r="X18" i="4"/>
  <c r="W18" i="4"/>
  <c r="U18" i="4"/>
  <c r="N18" i="4"/>
  <c r="H18" i="4"/>
  <c r="X17" i="4"/>
  <c r="W17" i="4"/>
  <c r="U17" i="4"/>
  <c r="Q17" i="4"/>
  <c r="N17" i="4"/>
  <c r="T17" i="4" s="1"/>
  <c r="H17" i="4"/>
  <c r="X16" i="4"/>
  <c r="W16" i="4"/>
  <c r="U16" i="4"/>
  <c r="Q16" i="4"/>
  <c r="N16" i="4"/>
  <c r="T16" i="4" s="1"/>
  <c r="H16" i="4"/>
  <c r="X15" i="4"/>
  <c r="W15" i="4"/>
  <c r="U15" i="4"/>
  <c r="Q15" i="4"/>
  <c r="N15" i="4"/>
  <c r="T15" i="4" s="1"/>
  <c r="H15" i="4"/>
  <c r="X14" i="4"/>
  <c r="W14" i="4"/>
  <c r="U14" i="4"/>
  <c r="Q14" i="4"/>
  <c r="N14" i="4"/>
  <c r="S14" i="4" s="1"/>
  <c r="H14" i="4"/>
  <c r="X13" i="4"/>
  <c r="W13" i="4"/>
  <c r="U13" i="4"/>
  <c r="Q13" i="4"/>
  <c r="N13" i="4"/>
  <c r="Y13" i="4" s="1"/>
  <c r="H13" i="4"/>
  <c r="X12" i="4"/>
  <c r="W12" i="4"/>
  <c r="U12" i="4"/>
  <c r="Q12" i="4"/>
  <c r="N12" i="4"/>
  <c r="Y12" i="4" s="1"/>
  <c r="H12" i="4"/>
  <c r="X11" i="4"/>
  <c r="W11" i="4"/>
  <c r="U11" i="4"/>
  <c r="Q11" i="4"/>
  <c r="N11" i="4"/>
  <c r="T11" i="4" s="1"/>
  <c r="H11" i="4"/>
  <c r="X10" i="4"/>
  <c r="W10" i="4"/>
  <c r="U10" i="4"/>
  <c r="Q10" i="4"/>
  <c r="N10" i="4"/>
  <c r="Y10" i="4" s="1"/>
  <c r="H10" i="4"/>
  <c r="X9" i="4"/>
  <c r="W9" i="4"/>
  <c r="U9" i="4"/>
  <c r="Q9" i="4"/>
  <c r="N9" i="4"/>
  <c r="T9" i="4" s="1"/>
  <c r="H9" i="4"/>
  <c r="X8" i="4"/>
  <c r="W8" i="4"/>
  <c r="U8" i="4"/>
  <c r="Q8" i="4"/>
  <c r="N8" i="4"/>
  <c r="S8" i="4" s="1"/>
  <c r="H8" i="4"/>
  <c r="X7" i="4"/>
  <c r="W7" i="4"/>
  <c r="U7" i="4"/>
  <c r="Q7" i="4"/>
  <c r="N7" i="4"/>
  <c r="Y7" i="4" s="1"/>
  <c r="H7" i="4"/>
  <c r="X6" i="4"/>
  <c r="W6" i="4"/>
  <c r="U6" i="4"/>
  <c r="Q6" i="4"/>
  <c r="N6" i="4"/>
  <c r="T6" i="4" s="1"/>
  <c r="H6" i="4"/>
  <c r="X5" i="4"/>
  <c r="W5" i="4"/>
  <c r="U5" i="4"/>
  <c r="N5" i="4"/>
  <c r="Y5" i="4" s="1"/>
  <c r="H5" i="4"/>
  <c r="K62" i="3"/>
  <c r="C33" i="2" s="1"/>
  <c r="J62" i="3"/>
  <c r="C32" i="2" s="1"/>
  <c r="I62" i="3"/>
  <c r="C31" i="2" s="1"/>
  <c r="G62" i="3"/>
  <c r="F62" i="3"/>
  <c r="X61" i="3"/>
  <c r="W61" i="3"/>
  <c r="U61" i="3"/>
  <c r="Q61" i="3"/>
  <c r="N61" i="3"/>
  <c r="Y61" i="3" s="1"/>
  <c r="H61" i="3"/>
  <c r="X60" i="3"/>
  <c r="W60" i="3"/>
  <c r="U60" i="3"/>
  <c r="Q60" i="3"/>
  <c r="N60" i="3"/>
  <c r="Y60" i="3" s="1"/>
  <c r="H60" i="3"/>
  <c r="X59" i="3"/>
  <c r="W59" i="3"/>
  <c r="U59" i="3"/>
  <c r="Q59" i="3"/>
  <c r="N59" i="3"/>
  <c r="H59" i="3"/>
  <c r="X58" i="3"/>
  <c r="W58" i="3"/>
  <c r="U58" i="3"/>
  <c r="Q58" i="3"/>
  <c r="N58" i="3"/>
  <c r="T58" i="3" s="1"/>
  <c r="H58" i="3"/>
  <c r="X57" i="3"/>
  <c r="W57" i="3"/>
  <c r="U57" i="3"/>
  <c r="Q57" i="3"/>
  <c r="N57" i="3"/>
  <c r="Y57" i="3" s="1"/>
  <c r="H57" i="3"/>
  <c r="X56" i="3"/>
  <c r="W56" i="3"/>
  <c r="U56" i="3"/>
  <c r="Q56" i="3"/>
  <c r="N56" i="3"/>
  <c r="T56" i="3" s="1"/>
  <c r="H56" i="3"/>
  <c r="X55" i="3"/>
  <c r="W55" i="3"/>
  <c r="U55" i="3"/>
  <c r="Q55" i="3"/>
  <c r="N55" i="3"/>
  <c r="T55" i="3" s="1"/>
  <c r="H55" i="3"/>
  <c r="X54" i="3"/>
  <c r="W54" i="3"/>
  <c r="U54" i="3"/>
  <c r="Q54" i="3"/>
  <c r="N54" i="3"/>
  <c r="S54" i="3" s="1"/>
  <c r="H54" i="3"/>
  <c r="X53" i="3"/>
  <c r="W53" i="3"/>
  <c r="U53" i="3"/>
  <c r="Q53" i="3"/>
  <c r="N53" i="3"/>
  <c r="S53" i="3" s="1"/>
  <c r="H53" i="3"/>
  <c r="X52" i="3"/>
  <c r="W52" i="3"/>
  <c r="U52" i="3"/>
  <c r="N52" i="3"/>
  <c r="Q52" i="3" s="1"/>
  <c r="H52" i="3"/>
  <c r="X51" i="3"/>
  <c r="W51" i="3"/>
  <c r="U51" i="3"/>
  <c r="Q51" i="3"/>
  <c r="N51" i="3"/>
  <c r="T51" i="3" s="1"/>
  <c r="H51" i="3"/>
  <c r="X50" i="3"/>
  <c r="W50" i="3"/>
  <c r="U50" i="3"/>
  <c r="Q50" i="3"/>
  <c r="N50" i="3"/>
  <c r="T50" i="3" s="1"/>
  <c r="H50" i="3"/>
  <c r="X49" i="3"/>
  <c r="W49" i="3"/>
  <c r="U49" i="3"/>
  <c r="N49" i="3"/>
  <c r="Q49" i="3" s="1"/>
  <c r="H49" i="3"/>
  <c r="X48" i="3"/>
  <c r="W48" i="3"/>
  <c r="U48" i="3"/>
  <c r="Q48" i="3"/>
  <c r="N48" i="3"/>
  <c r="Y48" i="3" s="1"/>
  <c r="H48" i="3"/>
  <c r="X47" i="3"/>
  <c r="W47" i="3"/>
  <c r="U47" i="3"/>
  <c r="Q47" i="3"/>
  <c r="N47" i="3"/>
  <c r="Y47" i="3" s="1"/>
  <c r="H47" i="3"/>
  <c r="X46" i="3"/>
  <c r="W46" i="3"/>
  <c r="U46" i="3"/>
  <c r="Q46" i="3"/>
  <c r="N46" i="3"/>
  <c r="H46" i="3"/>
  <c r="X45" i="3"/>
  <c r="W45" i="3"/>
  <c r="U45" i="3"/>
  <c r="N45" i="3"/>
  <c r="Q45" i="3" s="1"/>
  <c r="H45" i="3"/>
  <c r="X44" i="3"/>
  <c r="W44" i="3"/>
  <c r="U44" i="3"/>
  <c r="N44" i="3"/>
  <c r="H44" i="3"/>
  <c r="X43" i="3"/>
  <c r="W43" i="3"/>
  <c r="U43" i="3"/>
  <c r="N43" i="3"/>
  <c r="T43" i="3" s="1"/>
  <c r="H43" i="3"/>
  <c r="X42" i="3"/>
  <c r="W42" i="3"/>
  <c r="U42" i="3"/>
  <c r="Q42" i="3"/>
  <c r="N42" i="3"/>
  <c r="S42" i="3" s="1"/>
  <c r="H42" i="3"/>
  <c r="X41" i="3"/>
  <c r="W41" i="3"/>
  <c r="U41" i="3"/>
  <c r="N41" i="3"/>
  <c r="T41" i="3" s="1"/>
  <c r="H41" i="3"/>
  <c r="X40" i="3"/>
  <c r="W40" i="3"/>
  <c r="U40" i="3"/>
  <c r="N40" i="3"/>
  <c r="T40" i="3" s="1"/>
  <c r="H40" i="3"/>
  <c r="X39" i="3"/>
  <c r="W39" i="3"/>
  <c r="U39" i="3"/>
  <c r="Q39" i="3"/>
  <c r="N39" i="3"/>
  <c r="Y39" i="3" s="1"/>
  <c r="H39" i="3"/>
  <c r="X38" i="3"/>
  <c r="W38" i="3"/>
  <c r="U38" i="3"/>
  <c r="Q38" i="3"/>
  <c r="N38" i="3"/>
  <c r="H38" i="3"/>
  <c r="X37" i="3"/>
  <c r="W37" i="3"/>
  <c r="U37" i="3"/>
  <c r="Q37" i="3"/>
  <c r="N37" i="3"/>
  <c r="Y37" i="3" s="1"/>
  <c r="H37" i="3"/>
  <c r="X36" i="3"/>
  <c r="W36" i="3"/>
  <c r="U36" i="3"/>
  <c r="Q36" i="3"/>
  <c r="N36" i="3"/>
  <c r="H36" i="3"/>
  <c r="X35" i="3"/>
  <c r="W35" i="3"/>
  <c r="U35" i="3"/>
  <c r="Q35" i="3"/>
  <c r="N35" i="3"/>
  <c r="H35" i="3"/>
  <c r="X34" i="3"/>
  <c r="W34" i="3"/>
  <c r="U34" i="3"/>
  <c r="Q34" i="3"/>
  <c r="N34" i="3"/>
  <c r="T34" i="3" s="1"/>
  <c r="H34" i="3"/>
  <c r="X33" i="3"/>
  <c r="W33" i="3"/>
  <c r="U33" i="3"/>
  <c r="Q33" i="3"/>
  <c r="N33" i="3"/>
  <c r="S33" i="3" s="1"/>
  <c r="H33" i="3"/>
  <c r="X32" i="3"/>
  <c r="W32" i="3"/>
  <c r="U32" i="3"/>
  <c r="N32" i="3"/>
  <c r="Y32" i="3" s="1"/>
  <c r="H32" i="3"/>
  <c r="X31" i="3"/>
  <c r="W31" i="3"/>
  <c r="U31" i="3"/>
  <c r="Q31" i="3"/>
  <c r="N31" i="3"/>
  <c r="Y31" i="3" s="1"/>
  <c r="H31" i="3"/>
  <c r="X30" i="3"/>
  <c r="W30" i="3"/>
  <c r="U30" i="3"/>
  <c r="Q30" i="3"/>
  <c r="N30" i="3"/>
  <c r="H30" i="3"/>
  <c r="X29" i="3"/>
  <c r="W29" i="3"/>
  <c r="U29" i="3"/>
  <c r="N29" i="3"/>
  <c r="Q29" i="3" s="1"/>
  <c r="H29" i="3"/>
  <c r="X28" i="3"/>
  <c r="W28" i="3"/>
  <c r="U28" i="3"/>
  <c r="Q28" i="3"/>
  <c r="N28" i="3"/>
  <c r="Y28" i="3" s="1"/>
  <c r="H28" i="3"/>
  <c r="X27" i="3"/>
  <c r="W27" i="3"/>
  <c r="U27" i="3"/>
  <c r="Q27" i="3"/>
  <c r="N27" i="3"/>
  <c r="H27" i="3"/>
  <c r="X26" i="3"/>
  <c r="W26" i="3"/>
  <c r="U26" i="3"/>
  <c r="Q26" i="3"/>
  <c r="N26" i="3"/>
  <c r="S26" i="3" s="1"/>
  <c r="H26" i="3"/>
  <c r="X25" i="3"/>
  <c r="W25" i="3"/>
  <c r="U25" i="3"/>
  <c r="Q25" i="3"/>
  <c r="N25" i="3"/>
  <c r="H25" i="3"/>
  <c r="X24" i="3"/>
  <c r="W24" i="3"/>
  <c r="U24" i="3"/>
  <c r="Q24" i="3"/>
  <c r="N24" i="3"/>
  <c r="S24" i="3" s="1"/>
  <c r="H24" i="3"/>
  <c r="X23" i="3"/>
  <c r="W23" i="3"/>
  <c r="U23" i="3"/>
  <c r="Q23" i="3"/>
  <c r="N23" i="3"/>
  <c r="T23" i="3" s="1"/>
  <c r="H23" i="3"/>
  <c r="X22" i="3"/>
  <c r="W22" i="3"/>
  <c r="U22" i="3"/>
  <c r="Q22" i="3"/>
  <c r="N22" i="3"/>
  <c r="T22" i="3" s="1"/>
  <c r="H22" i="3"/>
  <c r="X21" i="3"/>
  <c r="W21" i="3"/>
  <c r="U21" i="3"/>
  <c r="Q21" i="3"/>
  <c r="N21" i="3"/>
  <c r="T21" i="3" s="1"/>
  <c r="H21" i="3"/>
  <c r="X20" i="3"/>
  <c r="W20" i="3"/>
  <c r="U20" i="3"/>
  <c r="N20" i="3"/>
  <c r="T20" i="3" s="1"/>
  <c r="H20" i="3"/>
  <c r="X19" i="3"/>
  <c r="W19" i="3"/>
  <c r="U19" i="3"/>
  <c r="N19" i="3"/>
  <c r="Q19" i="3" s="1"/>
  <c r="H19" i="3"/>
  <c r="X18" i="3"/>
  <c r="W18" i="3"/>
  <c r="U18" i="3"/>
  <c r="Q18" i="3"/>
  <c r="N18" i="3"/>
  <c r="Y18" i="3" s="1"/>
  <c r="H18" i="3"/>
  <c r="X17" i="3"/>
  <c r="W17" i="3"/>
  <c r="U17" i="3"/>
  <c r="N17" i="3"/>
  <c r="H17" i="3"/>
  <c r="X16" i="3"/>
  <c r="W16" i="3"/>
  <c r="U16" i="3"/>
  <c r="Q16" i="3"/>
  <c r="N16" i="3"/>
  <c r="H16" i="3"/>
  <c r="X15" i="3"/>
  <c r="W15" i="3"/>
  <c r="U15" i="3"/>
  <c r="N15" i="3"/>
  <c r="Y15" i="3" s="1"/>
  <c r="H15" i="3"/>
  <c r="X14" i="3"/>
  <c r="W14" i="3"/>
  <c r="U14" i="3"/>
  <c r="Q14" i="3"/>
  <c r="N14" i="3"/>
  <c r="Y14" i="3" s="1"/>
  <c r="H14" i="3"/>
  <c r="X13" i="3"/>
  <c r="W13" i="3"/>
  <c r="U13" i="3"/>
  <c r="Q13" i="3"/>
  <c r="N13" i="3"/>
  <c r="H13" i="3"/>
  <c r="X12" i="3"/>
  <c r="W12" i="3"/>
  <c r="U12" i="3"/>
  <c r="Q12" i="3"/>
  <c r="N12" i="3"/>
  <c r="Y12" i="3" s="1"/>
  <c r="H12" i="3"/>
  <c r="X11" i="3"/>
  <c r="W11" i="3"/>
  <c r="U11" i="3"/>
  <c r="Q11" i="3"/>
  <c r="N11" i="3"/>
  <c r="T11" i="3" s="1"/>
  <c r="H11" i="3"/>
  <c r="X10" i="3"/>
  <c r="W10" i="3"/>
  <c r="U10" i="3"/>
  <c r="Q10" i="3"/>
  <c r="N10" i="3"/>
  <c r="T10" i="3" s="1"/>
  <c r="H10" i="3"/>
  <c r="X9" i="3"/>
  <c r="W9" i="3"/>
  <c r="U9" i="3"/>
  <c r="Q9" i="3"/>
  <c r="N9" i="3"/>
  <c r="S9" i="3" s="1"/>
  <c r="H9" i="3"/>
  <c r="X8" i="3"/>
  <c r="W8" i="3"/>
  <c r="U8" i="3"/>
  <c r="Q8" i="3"/>
  <c r="N8" i="3"/>
  <c r="H8" i="3"/>
  <c r="X7" i="3"/>
  <c r="W7" i="3"/>
  <c r="U7" i="3"/>
  <c r="N7" i="3"/>
  <c r="Y7" i="3" s="1"/>
  <c r="H7" i="3"/>
  <c r="X6" i="3"/>
  <c r="W6" i="3"/>
  <c r="U6" i="3"/>
  <c r="Q6" i="3"/>
  <c r="N6" i="3"/>
  <c r="S6" i="3" s="1"/>
  <c r="H6" i="3"/>
  <c r="X5" i="3"/>
  <c r="W5" i="3"/>
  <c r="U5" i="3"/>
  <c r="N5" i="3"/>
  <c r="H5" i="3"/>
  <c r="E79" i="2"/>
  <c r="D79" i="2"/>
  <c r="C79" i="2"/>
  <c r="E72" i="2"/>
  <c r="E51" i="2"/>
  <c r="D51" i="2"/>
  <c r="C50" i="2"/>
  <c r="C51" i="2" s="1"/>
  <c r="E40" i="2"/>
  <c r="D40" i="2"/>
  <c r="C40" i="2"/>
  <c r="E23" i="2"/>
  <c r="D23" i="2"/>
  <c r="C22" i="2"/>
  <c r="C23" i="2" s="1"/>
  <c r="E12" i="2"/>
  <c r="D12" i="2"/>
  <c r="C12" i="2"/>
  <c r="G39" i="9" l="1"/>
  <c r="G57" i="9"/>
  <c r="S13" i="9"/>
  <c r="O6" i="8"/>
  <c r="Z60" i="3"/>
  <c r="P48" i="6"/>
  <c r="O34" i="3"/>
  <c r="P34" i="3" s="1"/>
  <c r="V7" i="3"/>
  <c r="R14" i="3"/>
  <c r="O9" i="6"/>
  <c r="O48" i="8"/>
  <c r="O12" i="3"/>
  <c r="H64" i="9" s="1"/>
  <c r="V41" i="3"/>
  <c r="Z28" i="4"/>
  <c r="O59" i="3"/>
  <c r="H39" i="9" s="1"/>
  <c r="O18" i="4"/>
  <c r="H26" i="9" s="1"/>
  <c r="Q32" i="3"/>
  <c r="R32" i="3" s="1"/>
  <c r="G65" i="9"/>
  <c r="T32" i="3"/>
  <c r="E13" i="9"/>
  <c r="Y43" i="4"/>
  <c r="Z43" i="4" s="1"/>
  <c r="Z13" i="4"/>
  <c r="V27" i="4"/>
  <c r="Z48" i="4"/>
  <c r="V45" i="4"/>
  <c r="O55" i="3"/>
  <c r="H8" i="9" s="1"/>
  <c r="R45" i="3"/>
  <c r="Z22" i="4"/>
  <c r="P5" i="8"/>
  <c r="V7" i="4"/>
  <c r="Y30" i="4"/>
  <c r="Z30" i="4" s="1"/>
  <c r="Y54" i="3"/>
  <c r="Z54" i="3" s="1"/>
  <c r="Z7" i="4"/>
  <c r="O38" i="3"/>
  <c r="P38" i="3" s="1"/>
  <c r="V11" i="4"/>
  <c r="R38" i="3"/>
  <c r="R11" i="4"/>
  <c r="R18" i="3"/>
  <c r="O23" i="4"/>
  <c r="P23" i="4" s="1"/>
  <c r="Q30" i="4"/>
  <c r="R30" i="4" s="1"/>
  <c r="S15" i="3"/>
  <c r="R39" i="3"/>
  <c r="J68" i="9" s="1"/>
  <c r="V28" i="3"/>
  <c r="V21" i="3"/>
  <c r="P45" i="6"/>
  <c r="Z18" i="3"/>
  <c r="O38" i="4"/>
  <c r="P38" i="4" s="1"/>
  <c r="G72" i="9"/>
  <c r="O17" i="8"/>
  <c r="O47" i="8"/>
  <c r="S40" i="4"/>
  <c r="T38" i="4"/>
  <c r="V5" i="4"/>
  <c r="R15" i="4"/>
  <c r="J24" i="9" s="1"/>
  <c r="S35" i="4"/>
  <c r="T29" i="3"/>
  <c r="G58" i="9"/>
  <c r="M29" i="7"/>
  <c r="O29" i="7" s="1"/>
  <c r="M43" i="7"/>
  <c r="O43" i="7" s="1"/>
  <c r="Z36" i="4"/>
  <c r="N29" i="7"/>
  <c r="P29" i="7" s="1"/>
  <c r="N43" i="7"/>
  <c r="P43" i="7" s="1"/>
  <c r="Y29" i="3"/>
  <c r="Z29" i="3" s="1"/>
  <c r="Y15" i="4"/>
  <c r="Z15" i="4" s="1"/>
  <c r="Y9" i="3"/>
  <c r="Z9" i="3" s="1"/>
  <c r="T54" i="3"/>
  <c r="O14" i="8"/>
  <c r="O22" i="9" s="1"/>
  <c r="S39" i="3"/>
  <c r="P14" i="8"/>
  <c r="P22" i="9" s="1"/>
  <c r="Z7" i="3"/>
  <c r="T39" i="3"/>
  <c r="R25" i="4"/>
  <c r="O35" i="4"/>
  <c r="P35" i="4" s="1"/>
  <c r="U51" i="7"/>
  <c r="R21" i="3"/>
  <c r="Y23" i="3"/>
  <c r="Z23" i="3" s="1"/>
  <c r="V39" i="3"/>
  <c r="V43" i="3"/>
  <c r="S15" i="4"/>
  <c r="V25" i="4"/>
  <c r="O25" i="6"/>
  <c r="N68" i="7"/>
  <c r="P68" i="7" s="1"/>
  <c r="P73" i="9" s="1"/>
  <c r="R31" i="4"/>
  <c r="O9" i="4"/>
  <c r="P9" i="4" s="1"/>
  <c r="R19" i="4"/>
  <c r="V8" i="3"/>
  <c r="O11" i="3"/>
  <c r="P11" i="3" s="1"/>
  <c r="R49" i="4"/>
  <c r="M68" i="7"/>
  <c r="O68" i="7" s="1"/>
  <c r="O73" i="9" s="1"/>
  <c r="S23" i="3"/>
  <c r="E33" i="9"/>
  <c r="G33" i="9" s="1"/>
  <c r="I33" i="9" s="1"/>
  <c r="Z31" i="3"/>
  <c r="O13" i="4"/>
  <c r="P13" i="4" s="1"/>
  <c r="R39" i="4"/>
  <c r="E14" i="2"/>
  <c r="N51" i="7"/>
  <c r="P51" i="7" s="1"/>
  <c r="O31" i="8"/>
  <c r="Y21" i="3"/>
  <c r="Z21" i="3" s="1"/>
  <c r="G68" i="9"/>
  <c r="O41" i="8"/>
  <c r="N35" i="7"/>
  <c r="P35" i="7" s="1"/>
  <c r="Z48" i="3"/>
  <c r="Z10" i="4"/>
  <c r="O43" i="4"/>
  <c r="P43" i="4" s="1"/>
  <c r="M7" i="5"/>
  <c r="O7" i="5" s="1"/>
  <c r="P17" i="6"/>
  <c r="O32" i="6"/>
  <c r="M30" i="7"/>
  <c r="O30" i="7" s="1"/>
  <c r="M59" i="7"/>
  <c r="O59" i="7" s="1"/>
  <c r="O39" i="9" s="1"/>
  <c r="V5" i="3"/>
  <c r="V36" i="4"/>
  <c r="N30" i="7"/>
  <c r="P30" i="7" s="1"/>
  <c r="O51" i="8"/>
  <c r="E38" i="9"/>
  <c r="M15" i="5"/>
  <c r="O15" i="5" s="1"/>
  <c r="M24" i="7"/>
  <c r="O24" i="7" s="1"/>
  <c r="S12" i="9"/>
  <c r="N44" i="7"/>
  <c r="P44" i="7" s="1"/>
  <c r="P17" i="8"/>
  <c r="P51" i="8"/>
  <c r="R29" i="3"/>
  <c r="V17" i="4"/>
  <c r="R27" i="4"/>
  <c r="Y46" i="4"/>
  <c r="Z46" i="4" s="1"/>
  <c r="U17" i="8"/>
  <c r="S41" i="9" s="1"/>
  <c r="U51" i="8"/>
  <c r="T9" i="3"/>
  <c r="Y33" i="4"/>
  <c r="Z33" i="4" s="1"/>
  <c r="V43" i="4"/>
  <c r="V47" i="4"/>
  <c r="M20" i="5"/>
  <c r="O20" i="5" s="1"/>
  <c r="O28" i="6"/>
  <c r="P47" i="6"/>
  <c r="M7" i="7"/>
  <c r="O7" i="7" s="1"/>
  <c r="G16" i="9"/>
  <c r="M27" i="7"/>
  <c r="O27" i="7" s="1"/>
  <c r="M34" i="7"/>
  <c r="O34" i="7" s="1"/>
  <c r="P37" i="8"/>
  <c r="V35" i="3"/>
  <c r="R49" i="3"/>
  <c r="F12" i="9"/>
  <c r="S47" i="4"/>
  <c r="V25" i="3"/>
  <c r="R34" i="3"/>
  <c r="Z37" i="3"/>
  <c r="Y49" i="3"/>
  <c r="Z49" i="3" s="1"/>
  <c r="Z19" i="4"/>
  <c r="Z35" i="4"/>
  <c r="O7" i="6"/>
  <c r="U25" i="6"/>
  <c r="N24" i="7"/>
  <c r="P24" i="7" s="1"/>
  <c r="O11" i="8"/>
  <c r="U34" i="8"/>
  <c r="S49" i="9" s="1"/>
  <c r="S34" i="3"/>
  <c r="V50" i="3"/>
  <c r="R14" i="4"/>
  <c r="J22" i="9" s="1"/>
  <c r="AA23" i="5"/>
  <c r="AC23" i="5" s="1"/>
  <c r="N29" i="5"/>
  <c r="P29" i="5" s="1"/>
  <c r="AA11" i="5"/>
  <c r="AC11" i="5" s="1"/>
  <c r="O45" i="6"/>
  <c r="U17" i="7"/>
  <c r="S57" i="9" s="1"/>
  <c r="P11" i="8"/>
  <c r="Y25" i="4"/>
  <c r="Z25" i="4" s="1"/>
  <c r="P44" i="6"/>
  <c r="P34" i="8"/>
  <c r="V38" i="4"/>
  <c r="O35" i="8"/>
  <c r="Z32" i="3"/>
  <c r="S47" i="3"/>
  <c r="Z5" i="4"/>
  <c r="T14" i="4"/>
  <c r="V35" i="4"/>
  <c r="S45" i="4"/>
  <c r="M29" i="5"/>
  <c r="O29" i="5" s="1"/>
  <c r="U54" i="7"/>
  <c r="P35" i="8"/>
  <c r="E41" i="9"/>
  <c r="G41" i="9" s="1"/>
  <c r="O34" i="8"/>
  <c r="U11" i="8"/>
  <c r="S11" i="3"/>
  <c r="S29" i="3"/>
  <c r="T47" i="3"/>
  <c r="M41" i="5"/>
  <c r="O41" i="5" s="1"/>
  <c r="S27" i="9"/>
  <c r="M33" i="7"/>
  <c r="O33" i="7" s="1"/>
  <c r="U35" i="8"/>
  <c r="S50" i="9" s="1"/>
  <c r="F21" i="9"/>
  <c r="G21" i="9" s="1"/>
  <c r="T14" i="3"/>
  <c r="Y20" i="3"/>
  <c r="Z20" i="3" s="1"/>
  <c r="Y34" i="3"/>
  <c r="Z34" i="3" s="1"/>
  <c r="Y40" i="3"/>
  <c r="Z40" i="3" s="1"/>
  <c r="R54" i="3"/>
  <c r="O12" i="4"/>
  <c r="P12" i="4" s="1"/>
  <c r="Y38" i="4"/>
  <c r="Z38" i="4" s="1"/>
  <c r="N45" i="5"/>
  <c r="P45" i="5" s="1"/>
  <c r="O8" i="6"/>
  <c r="O27" i="6"/>
  <c r="P31" i="6"/>
  <c r="P31" i="8"/>
  <c r="F42" i="9"/>
  <c r="G42" i="9" s="1"/>
  <c r="V34" i="3"/>
  <c r="V14" i="3"/>
  <c r="V18" i="3"/>
  <c r="V29" i="3"/>
  <c r="V32" i="3"/>
  <c r="Y56" i="3"/>
  <c r="Z56" i="3" s="1"/>
  <c r="Y8" i="4"/>
  <c r="Z8" i="4" s="1"/>
  <c r="Z12" i="4"/>
  <c r="P8" i="6"/>
  <c r="M15" i="7"/>
  <c r="O15" i="7" s="1"/>
  <c r="N59" i="7"/>
  <c r="P59" i="7" s="1"/>
  <c r="P39" i="9" s="1"/>
  <c r="N65" i="7"/>
  <c r="P65" i="7" s="1"/>
  <c r="P33" i="9" s="1"/>
  <c r="U31" i="8"/>
  <c r="F22" i="9"/>
  <c r="G22" i="9" s="1"/>
  <c r="N15" i="7"/>
  <c r="P15" i="7" s="1"/>
  <c r="N34" i="7"/>
  <c r="P34" i="7" s="1"/>
  <c r="G40" i="9"/>
  <c r="Y11" i="3"/>
  <c r="Z11" i="3" s="1"/>
  <c r="Y26" i="3"/>
  <c r="Z26" i="3" s="1"/>
  <c r="R48" i="3"/>
  <c r="J35" i="9" s="1"/>
  <c r="S12" i="4"/>
  <c r="N20" i="5"/>
  <c r="P20" i="5" s="1"/>
  <c r="O37" i="6"/>
  <c r="O51" i="6"/>
  <c r="N56" i="7"/>
  <c r="P56" i="7" s="1"/>
  <c r="O32" i="8"/>
  <c r="R50" i="4"/>
  <c r="U29" i="5"/>
  <c r="R28" i="3"/>
  <c r="J66" i="9" s="1"/>
  <c r="V22" i="4"/>
  <c r="O44" i="6"/>
  <c r="P7" i="6"/>
  <c r="P25" i="6"/>
  <c r="S21" i="3"/>
  <c r="V33" i="3"/>
  <c r="N5" i="5"/>
  <c r="P5" i="5" s="1"/>
  <c r="P37" i="6"/>
  <c r="N33" i="7"/>
  <c r="P33" i="7" s="1"/>
  <c r="S19" i="4"/>
  <c r="R25" i="3"/>
  <c r="Z12" i="3"/>
  <c r="S18" i="3"/>
  <c r="V30" i="3"/>
  <c r="O39" i="3"/>
  <c r="H68" i="9" s="1"/>
  <c r="V12" i="4"/>
  <c r="O14" i="6"/>
  <c r="K22" i="9" s="1"/>
  <c r="O28" i="8"/>
  <c r="P41" i="8"/>
  <c r="F59" i="9"/>
  <c r="G59" i="9" s="1"/>
  <c r="O15" i="8"/>
  <c r="N49" i="5"/>
  <c r="P49" i="5" s="1"/>
  <c r="U16" i="7"/>
  <c r="N25" i="7"/>
  <c r="P25" i="7" s="1"/>
  <c r="U15" i="8"/>
  <c r="Y22" i="3"/>
  <c r="Z22" i="3" s="1"/>
  <c r="T18" i="3"/>
  <c r="Y41" i="3"/>
  <c r="Z41" i="3" s="1"/>
  <c r="D41" i="2"/>
  <c r="E6" i="9"/>
  <c r="P15" i="8"/>
  <c r="T19" i="4"/>
  <c r="U48" i="6"/>
  <c r="Y51" i="3"/>
  <c r="Z51" i="3" s="1"/>
  <c r="Z61" i="3"/>
  <c r="V15" i="4"/>
  <c r="O25" i="4"/>
  <c r="P25" i="4" s="1"/>
  <c r="V37" i="4"/>
  <c r="P6" i="6"/>
  <c r="F29" i="9"/>
  <c r="R52" i="4"/>
  <c r="V19" i="3"/>
  <c r="N5" i="7"/>
  <c r="P5" i="7" s="1"/>
  <c r="M56" i="7"/>
  <c r="O56" i="7" s="1"/>
  <c r="R12" i="3"/>
  <c r="J64" i="9" s="1"/>
  <c r="S37" i="3"/>
  <c r="Z20" i="4"/>
  <c r="Z41" i="4"/>
  <c r="P44" i="8"/>
  <c r="T52" i="3"/>
  <c r="N19" i="5"/>
  <c r="P19" i="5" s="1"/>
  <c r="L16" i="9" s="1"/>
  <c r="U17" i="6"/>
  <c r="T12" i="3"/>
  <c r="O50" i="3"/>
  <c r="H71" i="9" s="1"/>
  <c r="P53" i="6"/>
  <c r="L9" i="9" s="1"/>
  <c r="U46" i="7"/>
  <c r="S19" i="9" s="1"/>
  <c r="O8" i="8"/>
  <c r="O20" i="8"/>
  <c r="P48" i="8"/>
  <c r="V45" i="3"/>
  <c r="O5" i="4"/>
  <c r="P5" i="4" s="1"/>
  <c r="V26" i="4"/>
  <c r="T52" i="4"/>
  <c r="M41" i="7"/>
  <c r="O41" i="7" s="1"/>
  <c r="P8" i="8"/>
  <c r="P20" i="8"/>
  <c r="S10" i="3"/>
  <c r="V12" i="3"/>
  <c r="S50" i="3"/>
  <c r="Q5" i="4"/>
  <c r="R5" i="4" s="1"/>
  <c r="S7" i="4"/>
  <c r="Q32" i="4"/>
  <c r="R32" i="4" s="1"/>
  <c r="O47" i="4"/>
  <c r="P47" i="4" s="1"/>
  <c r="V52" i="4"/>
  <c r="O34" i="6"/>
  <c r="P50" i="6"/>
  <c r="U20" i="7"/>
  <c r="S42" i="9" s="1"/>
  <c r="M35" i="7"/>
  <c r="O35" i="7" s="1"/>
  <c r="M64" i="7"/>
  <c r="O64" i="7" s="1"/>
  <c r="M66" i="7"/>
  <c r="O66" i="7" s="1"/>
  <c r="O67" i="9" s="1"/>
  <c r="U8" i="8"/>
  <c r="U52" i="8"/>
  <c r="G26" i="9"/>
  <c r="G7" i="9"/>
  <c r="U53" i="7"/>
  <c r="S12" i="3"/>
  <c r="Y19" i="3"/>
  <c r="Z19" i="3" s="1"/>
  <c r="T42" i="3"/>
  <c r="O7" i="4"/>
  <c r="P7" i="4" s="1"/>
  <c r="S49" i="4"/>
  <c r="U28" i="8"/>
  <c r="S46" i="9" s="1"/>
  <c r="P40" i="8"/>
  <c r="P52" i="8"/>
  <c r="Z39" i="3"/>
  <c r="T60" i="3"/>
  <c r="R7" i="4"/>
  <c r="T49" i="4"/>
  <c r="P32" i="8"/>
  <c r="U48" i="8"/>
  <c r="O52" i="8"/>
  <c r="O15" i="3"/>
  <c r="P15" i="3" s="1"/>
  <c r="Q20" i="3"/>
  <c r="R20" i="3" s="1"/>
  <c r="O33" i="3"/>
  <c r="P33" i="3" s="1"/>
  <c r="S48" i="3"/>
  <c r="Y52" i="3"/>
  <c r="Z52" i="3" s="1"/>
  <c r="T7" i="4"/>
  <c r="V9" i="4"/>
  <c r="R24" i="4"/>
  <c r="T32" i="4"/>
  <c r="Z37" i="4"/>
  <c r="Q42" i="4"/>
  <c r="R42" i="4" s="1"/>
  <c r="Q47" i="4"/>
  <c r="R47" i="4" s="1"/>
  <c r="M43" i="5"/>
  <c r="O43" i="5" s="1"/>
  <c r="M45" i="5"/>
  <c r="O45" i="5" s="1"/>
  <c r="P34" i="6"/>
  <c r="O38" i="6"/>
  <c r="O50" i="6"/>
  <c r="U52" i="7"/>
  <c r="N64" i="7"/>
  <c r="P64" i="7" s="1"/>
  <c r="O25" i="8"/>
  <c r="O45" i="8"/>
  <c r="T19" i="3"/>
  <c r="O53" i="6"/>
  <c r="K9" i="9" s="1"/>
  <c r="U10" i="7"/>
  <c r="S58" i="9" s="1"/>
  <c r="T45" i="3"/>
  <c r="S60" i="3"/>
  <c r="R9" i="4"/>
  <c r="N27" i="7"/>
  <c r="P27" i="7" s="1"/>
  <c r="S22" i="3"/>
  <c r="O35" i="3"/>
  <c r="P35" i="3" s="1"/>
  <c r="V38" i="3"/>
  <c r="Q40" i="3"/>
  <c r="R40" i="3" s="1"/>
  <c r="J69" i="9" s="1"/>
  <c r="Y42" i="3"/>
  <c r="Z42" i="3" s="1"/>
  <c r="Y45" i="3"/>
  <c r="Z45" i="3" s="1"/>
  <c r="T48" i="3"/>
  <c r="S55" i="3"/>
  <c r="S5" i="4"/>
  <c r="V24" i="4"/>
  <c r="Z32" i="4"/>
  <c r="O37" i="4"/>
  <c r="P37" i="4" s="1"/>
  <c r="V39" i="4"/>
  <c r="T42" i="4"/>
  <c r="N15" i="5"/>
  <c r="P15" i="5" s="1"/>
  <c r="N43" i="5"/>
  <c r="P43" i="5" s="1"/>
  <c r="O10" i="6"/>
  <c r="K65" i="9" s="1"/>
  <c r="P14" i="6"/>
  <c r="L22" i="9" s="1"/>
  <c r="O21" i="8"/>
  <c r="P25" i="8"/>
  <c r="P45" i="8"/>
  <c r="F27" i="9"/>
  <c r="E45" i="9"/>
  <c r="G45" i="9" s="1"/>
  <c r="T37" i="3"/>
  <c r="U5" i="5"/>
  <c r="U38" i="7"/>
  <c r="P28" i="8"/>
  <c r="V29" i="4"/>
  <c r="G9" i="9"/>
  <c r="Q15" i="3"/>
  <c r="R15" i="3" s="1"/>
  <c r="S20" i="3"/>
  <c r="Z28" i="3"/>
  <c r="R35" i="3"/>
  <c r="S40" i="3"/>
  <c r="V48" i="3"/>
  <c r="T5" i="4"/>
  <c r="R12" i="4"/>
  <c r="O19" i="4"/>
  <c r="P19" i="4" s="1"/>
  <c r="R35" i="4"/>
  <c r="R37" i="4"/>
  <c r="Z42" i="4"/>
  <c r="V50" i="4"/>
  <c r="Y52" i="4"/>
  <c r="Z52" i="4" s="1"/>
  <c r="P10" i="6"/>
  <c r="L65" i="9" s="1"/>
  <c r="P23" i="6"/>
  <c r="O31" i="6"/>
  <c r="O47" i="6"/>
  <c r="G25" i="9"/>
  <c r="U45" i="7"/>
  <c r="G36" i="9"/>
  <c r="O5" i="8"/>
  <c r="U25" i="8"/>
  <c r="S18" i="9" s="1"/>
  <c r="O37" i="8"/>
  <c r="U45" i="8"/>
  <c r="T15" i="3"/>
  <c r="T12" i="4"/>
  <c r="V14" i="4"/>
  <c r="Y24" i="4"/>
  <c r="Z24" i="4" s="1"/>
  <c r="T35" i="4"/>
  <c r="M5" i="5"/>
  <c r="O5" i="5" s="1"/>
  <c r="AE50" i="5"/>
  <c r="AG50" i="5" s="1"/>
  <c r="AB57" i="5"/>
  <c r="AD57" i="5" s="1"/>
  <c r="U9" i="7"/>
  <c r="U19" i="7"/>
  <c r="S16" i="9" s="1"/>
  <c r="M52" i="7"/>
  <c r="O52" i="7" s="1"/>
  <c r="U37" i="8"/>
  <c r="F47" i="9"/>
  <c r="E41" i="2"/>
  <c r="R11" i="3"/>
  <c r="Z15" i="3"/>
  <c r="S22" i="4"/>
  <c r="N41" i="5"/>
  <c r="P41" i="5" s="1"/>
  <c r="N52" i="7"/>
  <c r="P52" i="7" s="1"/>
  <c r="T41" i="4"/>
  <c r="O44" i="8"/>
  <c r="Y55" i="3"/>
  <c r="Z55" i="3" s="1"/>
  <c r="T22" i="4"/>
  <c r="AE22" i="7"/>
  <c r="AG22" i="7" s="1"/>
  <c r="M39" i="7"/>
  <c r="O39" i="7" s="1"/>
  <c r="O68" i="9" s="1"/>
  <c r="M45" i="7"/>
  <c r="O45" i="7" s="1"/>
  <c r="S51" i="3"/>
  <c r="Y14" i="4"/>
  <c r="Z14" i="4" s="1"/>
  <c r="R17" i="4"/>
  <c r="M19" i="5"/>
  <c r="O19" i="5" s="1"/>
  <c r="K16" i="9" s="1"/>
  <c r="P11" i="6"/>
  <c r="P28" i="6"/>
  <c r="P51" i="6"/>
  <c r="N45" i="7"/>
  <c r="P45" i="7" s="1"/>
  <c r="E8" i="9"/>
  <c r="G8" i="9" s="1"/>
  <c r="O17" i="3"/>
  <c r="P17" i="3" s="1"/>
  <c r="Y50" i="3"/>
  <c r="Z50" i="3" s="1"/>
  <c r="V55" i="3"/>
  <c r="F46" i="9"/>
  <c r="V11" i="3"/>
  <c r="Y43" i="3"/>
  <c r="Z43" i="3" s="1"/>
  <c r="T8" i="4"/>
  <c r="S17" i="4"/>
  <c r="S25" i="4"/>
  <c r="S33" i="4"/>
  <c r="O11" i="6"/>
  <c r="U28" i="6"/>
  <c r="U51" i="6"/>
  <c r="F19" i="9"/>
  <c r="G19" i="9" s="1"/>
  <c r="R37" i="3"/>
  <c r="O17" i="6"/>
  <c r="V36" i="3"/>
  <c r="S49" i="3"/>
  <c r="T25" i="4"/>
  <c r="R43" i="4"/>
  <c r="N32" i="5"/>
  <c r="P32" i="5" s="1"/>
  <c r="P32" i="6"/>
  <c r="O48" i="6"/>
  <c r="M49" i="7"/>
  <c r="O49" i="7" s="1"/>
  <c r="O27" i="8"/>
  <c r="G53" i="9"/>
  <c r="S44" i="3"/>
  <c r="T49" i="3"/>
  <c r="S56" i="3"/>
  <c r="R59" i="3"/>
  <c r="J39" i="9" s="1"/>
  <c r="R38" i="4"/>
  <c r="Y40" i="4"/>
  <c r="Z40" i="4" s="1"/>
  <c r="S43" i="4"/>
  <c r="P29" i="6"/>
  <c r="L7" i="9" s="1"/>
  <c r="U32" i="6"/>
  <c r="M5" i="7"/>
  <c r="O5" i="7" s="1"/>
  <c r="M44" i="7"/>
  <c r="O44" i="7" s="1"/>
  <c r="N49" i="7"/>
  <c r="P49" i="7" s="1"/>
  <c r="AF65" i="5"/>
  <c r="AH65" i="5" s="1"/>
  <c r="N65" i="5" s="1"/>
  <c r="P65" i="5" s="1"/>
  <c r="L33" i="9" s="1"/>
  <c r="AE65" i="5"/>
  <c r="AG65" i="5" s="1"/>
  <c r="M65" i="5" s="1"/>
  <c r="O65" i="5" s="1"/>
  <c r="K33" i="9" s="1"/>
  <c r="U65" i="5"/>
  <c r="V44" i="3"/>
  <c r="O31" i="3"/>
  <c r="P31" i="3" s="1"/>
  <c r="V31" i="3"/>
  <c r="R31" i="3"/>
  <c r="O44" i="3"/>
  <c r="O42" i="3"/>
  <c r="V42" i="3"/>
  <c r="R42" i="3"/>
  <c r="O21" i="4"/>
  <c r="P21" i="4" s="1"/>
  <c r="T6" i="3"/>
  <c r="V13" i="3"/>
  <c r="R13" i="3"/>
  <c r="S41" i="4"/>
  <c r="R41" i="4"/>
  <c r="O41" i="4"/>
  <c r="P41" i="4" s="1"/>
  <c r="V41" i="4"/>
  <c r="Y51" i="4"/>
  <c r="Z51" i="4" s="1"/>
  <c r="Q51" i="4"/>
  <c r="R51" i="4" s="1"/>
  <c r="T51" i="4"/>
  <c r="S51" i="4"/>
  <c r="X58" i="5"/>
  <c r="Z58" i="5" s="1"/>
  <c r="T13" i="3"/>
  <c r="S13" i="3"/>
  <c r="Y13" i="3"/>
  <c r="Z13" i="3" s="1"/>
  <c r="V20" i="3"/>
  <c r="O20" i="3"/>
  <c r="S31" i="3"/>
  <c r="O32" i="4"/>
  <c r="V32" i="4"/>
  <c r="S32" i="4"/>
  <c r="O51" i="4"/>
  <c r="P51" i="4" s="1"/>
  <c r="X9" i="5"/>
  <c r="Z9" i="5" s="1"/>
  <c r="W13" i="5"/>
  <c r="Y13" i="5" s="1"/>
  <c r="AE24" i="5"/>
  <c r="AG24" i="5" s="1"/>
  <c r="W24" i="5"/>
  <c r="Y24" i="5" s="1"/>
  <c r="AF24" i="5"/>
  <c r="AH24" i="5" s="1"/>
  <c r="AB24" i="5"/>
  <c r="AD24" i="5" s="1"/>
  <c r="AA24" i="5"/>
  <c r="AC24" i="5" s="1"/>
  <c r="X24" i="5"/>
  <c r="Z24" i="5" s="1"/>
  <c r="U24" i="5"/>
  <c r="AA69" i="5"/>
  <c r="AC69" i="5" s="1"/>
  <c r="O13" i="3"/>
  <c r="T31" i="3"/>
  <c r="V59" i="3"/>
  <c r="U32" i="5"/>
  <c r="X54" i="5"/>
  <c r="Z54" i="5" s="1"/>
  <c r="V21" i="4"/>
  <c r="R21" i="4"/>
  <c r="Y44" i="3"/>
  <c r="Z44" i="3" s="1"/>
  <c r="T44" i="3"/>
  <c r="Q44" i="3"/>
  <c r="R44" i="3" s="1"/>
  <c r="O52" i="3"/>
  <c r="V52" i="3"/>
  <c r="S52" i="3"/>
  <c r="R52" i="3"/>
  <c r="AB50" i="5"/>
  <c r="AD50" i="5" s="1"/>
  <c r="Y27" i="4"/>
  <c r="Z27" i="4" s="1"/>
  <c r="T27" i="4"/>
  <c r="S27" i="4"/>
  <c r="O27" i="4"/>
  <c r="P27" i="4" s="1"/>
  <c r="U15" i="7"/>
  <c r="E55" i="9"/>
  <c r="G55" i="9" s="1"/>
  <c r="AB6" i="7"/>
  <c r="AD6" i="7" s="1"/>
  <c r="AB38" i="7"/>
  <c r="AD38" i="7" s="1"/>
  <c r="AA38" i="7"/>
  <c r="AC38" i="7" s="1"/>
  <c r="AF31" i="7"/>
  <c r="AH31" i="7" s="1"/>
  <c r="AF9" i="7"/>
  <c r="AH9" i="7" s="1"/>
  <c r="N9" i="7" s="1"/>
  <c r="P9" i="7" s="1"/>
  <c r="AE31" i="7"/>
  <c r="AG31" i="7" s="1"/>
  <c r="AE9" i="7"/>
  <c r="AG9" i="7" s="1"/>
  <c r="M9" i="7" s="1"/>
  <c r="O9" i="7" s="1"/>
  <c r="AA12" i="7"/>
  <c r="AC12" i="7" s="1"/>
  <c r="AA50" i="7"/>
  <c r="AC50" i="7" s="1"/>
  <c r="W37" i="7"/>
  <c r="Y37" i="7" s="1"/>
  <c r="W50" i="7"/>
  <c r="Y50" i="7" s="1"/>
  <c r="X48" i="7"/>
  <c r="Z48" i="7" s="1"/>
  <c r="AF12" i="7"/>
  <c r="AH12" i="7" s="1"/>
  <c r="X11" i="7"/>
  <c r="Z11" i="7" s="1"/>
  <c r="AB16" i="7"/>
  <c r="AD16" i="7" s="1"/>
  <c r="W23" i="7"/>
  <c r="Y23" i="7" s="1"/>
  <c r="W18" i="7"/>
  <c r="Y18" i="7" s="1"/>
  <c r="AA16" i="7"/>
  <c r="AC16" i="7" s="1"/>
  <c r="O27" i="3"/>
  <c r="Z49" i="4"/>
  <c r="V49" i="4"/>
  <c r="V10" i="3"/>
  <c r="O10" i="3"/>
  <c r="H58" i="9" s="1"/>
  <c r="Y25" i="3"/>
  <c r="Z25" i="3" s="1"/>
  <c r="T25" i="3"/>
  <c r="S25" i="3"/>
  <c r="O57" i="3"/>
  <c r="H72" i="9" s="1"/>
  <c r="V33" i="4"/>
  <c r="O33" i="4"/>
  <c r="AF40" i="5"/>
  <c r="AH40" i="5" s="1"/>
  <c r="N40" i="5" s="1"/>
  <c r="P40" i="5" s="1"/>
  <c r="L69" i="9" s="1"/>
  <c r="AE40" i="5"/>
  <c r="AG40" i="5" s="1"/>
  <c r="M40" i="5" s="1"/>
  <c r="O40" i="5" s="1"/>
  <c r="K69" i="9" s="1"/>
  <c r="U40" i="5"/>
  <c r="Y17" i="3"/>
  <c r="Z17" i="3" s="1"/>
  <c r="T17" i="3"/>
  <c r="Q17" i="3"/>
  <c r="R17" i="3" s="1"/>
  <c r="J57" i="9" s="1"/>
  <c r="S17" i="3"/>
  <c r="Y6" i="3"/>
  <c r="Z6" i="3" s="1"/>
  <c r="E42" i="2"/>
  <c r="AA60" i="5"/>
  <c r="AC60" i="5" s="1"/>
  <c r="AB60" i="5"/>
  <c r="AD60" i="5" s="1"/>
  <c r="U60" i="5"/>
  <c r="S16" i="3"/>
  <c r="T16" i="3"/>
  <c r="Y16" i="3"/>
  <c r="Z16" i="3" s="1"/>
  <c r="O25" i="3"/>
  <c r="AA68" i="5"/>
  <c r="AC68" i="5" s="1"/>
  <c r="W18" i="5"/>
  <c r="Y18" i="5" s="1"/>
  <c r="W25" i="5"/>
  <c r="Y25" i="5" s="1"/>
  <c r="Q5" i="3"/>
  <c r="R5" i="3" s="1"/>
  <c r="Y5" i="3"/>
  <c r="Z5" i="3" s="1"/>
  <c r="S5" i="3"/>
  <c r="T5" i="3"/>
  <c r="R8" i="3"/>
  <c r="J63" i="9" s="1"/>
  <c r="O16" i="3"/>
  <c r="P16" i="3" s="1"/>
  <c r="V53" i="3"/>
  <c r="R53" i="3"/>
  <c r="X18" i="5"/>
  <c r="Z18" i="5" s="1"/>
  <c r="W27" i="5"/>
  <c r="Y27" i="5" s="1"/>
  <c r="AF51" i="5"/>
  <c r="AH51" i="5" s="1"/>
  <c r="R6" i="3"/>
  <c r="O6" i="3"/>
  <c r="H62" i="3"/>
  <c r="V6" i="3"/>
  <c r="AB21" i="5"/>
  <c r="AD21" i="5" s="1"/>
  <c r="W21" i="5"/>
  <c r="Y21" i="5" s="1"/>
  <c r="X21" i="5"/>
  <c r="Z21" i="5" s="1"/>
  <c r="U21" i="5"/>
  <c r="S36" i="3"/>
  <c r="Y36" i="3"/>
  <c r="Z36" i="3" s="1"/>
  <c r="O5" i="3"/>
  <c r="Y8" i="3"/>
  <c r="Z8" i="3" s="1"/>
  <c r="T8" i="3"/>
  <c r="S8" i="3"/>
  <c r="R10" i="3"/>
  <c r="J58" i="9" s="1"/>
  <c r="R23" i="3"/>
  <c r="O23" i="3"/>
  <c r="V23" i="3"/>
  <c r="T53" i="3"/>
  <c r="Y53" i="3"/>
  <c r="Z53" i="3" s="1"/>
  <c r="Y11" i="4"/>
  <c r="Z11" i="4" s="1"/>
  <c r="O11" i="4"/>
  <c r="P11" i="4" s="1"/>
  <c r="S11" i="4"/>
  <c r="R33" i="4"/>
  <c r="Y45" i="4"/>
  <c r="Z45" i="4" s="1"/>
  <c r="Q45" i="4"/>
  <c r="R45" i="4" s="1"/>
  <c r="T45" i="4"/>
  <c r="O45" i="4"/>
  <c r="P45" i="4" s="1"/>
  <c r="T53" i="4"/>
  <c r="S53" i="4"/>
  <c r="Y53" i="4"/>
  <c r="Z53" i="4" s="1"/>
  <c r="AE9" i="5"/>
  <c r="AG9" i="5" s="1"/>
  <c r="U10" i="5"/>
  <c r="X10" i="5"/>
  <c r="Z10" i="5" s="1"/>
  <c r="W10" i="5"/>
  <c r="Y10" i="5" s="1"/>
  <c r="AB10" i="5"/>
  <c r="AD10" i="5" s="1"/>
  <c r="AA10" i="5"/>
  <c r="AC10" i="5" s="1"/>
  <c r="W30" i="5"/>
  <c r="Y30" i="5" s="1"/>
  <c r="AB69" i="5"/>
  <c r="AD69" i="5" s="1"/>
  <c r="AB54" i="5"/>
  <c r="AD54" i="5" s="1"/>
  <c r="AF33" i="5"/>
  <c r="AH33" i="5" s="1"/>
  <c r="AB25" i="5"/>
  <c r="AD25" i="5" s="1"/>
  <c r="W23" i="5"/>
  <c r="Y23" i="5" s="1"/>
  <c r="X11" i="5"/>
  <c r="Z11" i="5" s="1"/>
  <c r="AB9" i="5"/>
  <c r="AD9" i="5" s="1"/>
  <c r="AB6" i="5"/>
  <c r="AD6" i="5" s="1"/>
  <c r="AE27" i="5"/>
  <c r="AG27" i="5" s="1"/>
  <c r="X25" i="5"/>
  <c r="Z25" i="5" s="1"/>
  <c r="AA9" i="5"/>
  <c r="AC9" i="5" s="1"/>
  <c r="U20" i="5"/>
  <c r="O8" i="3"/>
  <c r="H63" i="9" s="1"/>
  <c r="O53" i="3"/>
  <c r="AA18" i="5"/>
  <c r="AC18" i="5" s="1"/>
  <c r="V53" i="4"/>
  <c r="R53" i="4"/>
  <c r="J9" i="9" s="1"/>
  <c r="O53" i="4"/>
  <c r="H9" i="9" s="1"/>
  <c r="T38" i="3"/>
  <c r="S38" i="3"/>
  <c r="Y38" i="3"/>
  <c r="Z38" i="3" s="1"/>
  <c r="AB34" i="5"/>
  <c r="AD34" i="5" s="1"/>
  <c r="Y27" i="3"/>
  <c r="Z27" i="3" s="1"/>
  <c r="T27" i="3"/>
  <c r="S27" i="3"/>
  <c r="V57" i="3"/>
  <c r="R57" i="3"/>
  <c r="J72" i="9" s="1"/>
  <c r="T36" i="3"/>
  <c r="R51" i="3"/>
  <c r="O51" i="3"/>
  <c r="V51" i="3"/>
  <c r="V23" i="4"/>
  <c r="R23" i="4"/>
  <c r="W67" i="5"/>
  <c r="Y67" i="5" s="1"/>
  <c r="V27" i="3"/>
  <c r="R27" i="3"/>
  <c r="O36" i="3"/>
  <c r="P36" i="3" s="1"/>
  <c r="AA21" i="5"/>
  <c r="AC21" i="5" s="1"/>
  <c r="T23" i="4"/>
  <c r="S23" i="4"/>
  <c r="Y23" i="4"/>
  <c r="Z23" i="4" s="1"/>
  <c r="X46" i="5"/>
  <c r="Z46" i="5" s="1"/>
  <c r="X67" i="5"/>
  <c r="Z67" i="5" s="1"/>
  <c r="Z57" i="3"/>
  <c r="Y59" i="3"/>
  <c r="Z59" i="3" s="1"/>
  <c r="T59" i="3"/>
  <c r="S59" i="3"/>
  <c r="R61" i="3"/>
  <c r="O61" i="3"/>
  <c r="P61" i="3" s="1"/>
  <c r="V61" i="3"/>
  <c r="Z21" i="4"/>
  <c r="V51" i="4"/>
  <c r="AA36" i="5"/>
  <c r="AC36" i="5" s="1"/>
  <c r="AA38" i="5"/>
  <c r="AC38" i="5" s="1"/>
  <c r="AE28" i="5"/>
  <c r="AG28" i="5" s="1"/>
  <c r="U28" i="5"/>
  <c r="X28" i="5"/>
  <c r="Z28" i="5" s="1"/>
  <c r="W28" i="5"/>
  <c r="Y28" i="5" s="1"/>
  <c r="AF28" i="5"/>
  <c r="AH28" i="5" s="1"/>
  <c r="AB28" i="5"/>
  <c r="AD28" i="5" s="1"/>
  <c r="AA28" i="5"/>
  <c r="AC28" i="5" s="1"/>
  <c r="AE33" i="5"/>
  <c r="AG33" i="5" s="1"/>
  <c r="AB36" i="5"/>
  <c r="AD36" i="5" s="1"/>
  <c r="AB38" i="5"/>
  <c r="AD38" i="5" s="1"/>
  <c r="U26" i="6"/>
  <c r="P26" i="6"/>
  <c r="O26" i="6"/>
  <c r="P46" i="6"/>
  <c r="U46" i="6"/>
  <c r="O46" i="6"/>
  <c r="R33" i="3"/>
  <c r="R55" i="3"/>
  <c r="J8" i="9" s="1"/>
  <c r="V13" i="4"/>
  <c r="R13" i="4"/>
  <c r="Y17" i="4"/>
  <c r="Z17" i="4" s="1"/>
  <c r="O17" i="4"/>
  <c r="P17" i="4" s="1"/>
  <c r="Y39" i="4"/>
  <c r="Z39" i="4" s="1"/>
  <c r="S39" i="4"/>
  <c r="T39" i="4"/>
  <c r="AF9" i="5"/>
  <c r="AH9" i="5" s="1"/>
  <c r="AF11" i="5"/>
  <c r="AH11" i="5" s="1"/>
  <c r="AF26" i="5"/>
  <c r="AH26" i="5" s="1"/>
  <c r="AE26" i="5"/>
  <c r="AG26" i="5" s="1"/>
  <c r="U26" i="5"/>
  <c r="AA26" i="5"/>
  <c r="AC26" i="5" s="1"/>
  <c r="X26" i="5"/>
  <c r="Z26" i="5" s="1"/>
  <c r="AB26" i="5"/>
  <c r="AD26" i="5" s="1"/>
  <c r="W26" i="5"/>
  <c r="Y26" i="5" s="1"/>
  <c r="T33" i="3"/>
  <c r="Y33" i="3"/>
  <c r="Z33" i="3" s="1"/>
  <c r="R46" i="3"/>
  <c r="V46" i="3"/>
  <c r="O46" i="3"/>
  <c r="S57" i="3"/>
  <c r="T13" i="4"/>
  <c r="S13" i="4"/>
  <c r="S21" i="4"/>
  <c r="S37" i="4"/>
  <c r="O39" i="4"/>
  <c r="P39" i="4" s="1"/>
  <c r="AF39" i="5"/>
  <c r="AH39" i="5" s="1"/>
  <c r="U18" i="6"/>
  <c r="P18" i="6"/>
  <c r="O18" i="6"/>
  <c r="F54" i="9"/>
  <c r="U12" i="8"/>
  <c r="P12" i="8"/>
  <c r="O12" i="8"/>
  <c r="O22" i="3"/>
  <c r="V22" i="3"/>
  <c r="S46" i="3"/>
  <c r="T46" i="3"/>
  <c r="T57" i="3"/>
  <c r="T21" i="4"/>
  <c r="T37" i="4"/>
  <c r="R24" i="3"/>
  <c r="O24" i="3"/>
  <c r="R26" i="3"/>
  <c r="J5" i="9" s="1"/>
  <c r="V19" i="4"/>
  <c r="U7" i="5"/>
  <c r="AB22" i="5"/>
  <c r="AD22" i="5" s="1"/>
  <c r="AA22" i="5"/>
  <c r="AC22" i="5" s="1"/>
  <c r="AF22" i="5"/>
  <c r="AH22" i="5" s="1"/>
  <c r="AB61" i="5"/>
  <c r="AD61" i="5" s="1"/>
  <c r="X55" i="5"/>
  <c r="Z55" i="5" s="1"/>
  <c r="T35" i="3"/>
  <c r="S35" i="3"/>
  <c r="D14" i="2"/>
  <c r="D13" i="2"/>
  <c r="O8" i="4"/>
  <c r="P8" i="4" s="1"/>
  <c r="V8" i="4"/>
  <c r="R28" i="4"/>
  <c r="AA14" i="5"/>
  <c r="AC14" i="5" s="1"/>
  <c r="Z14" i="3"/>
  <c r="V15" i="3"/>
  <c r="O19" i="3"/>
  <c r="H16" i="9" s="1"/>
  <c r="T24" i="3"/>
  <c r="O41" i="3"/>
  <c r="P41" i="3" s="1"/>
  <c r="V47" i="3"/>
  <c r="R60" i="3"/>
  <c r="O6" i="4"/>
  <c r="P6" i="4" s="1"/>
  <c r="V6" i="4"/>
  <c r="R6" i="4"/>
  <c r="S28" i="4"/>
  <c r="T28" i="4"/>
  <c r="V40" i="4"/>
  <c r="O40" i="4"/>
  <c r="P40" i="4" s="1"/>
  <c r="O42" i="4"/>
  <c r="P42" i="4" s="1"/>
  <c r="V42" i="4"/>
  <c r="AB14" i="5"/>
  <c r="AD14" i="5" s="1"/>
  <c r="U22" i="5"/>
  <c r="AE30" i="5"/>
  <c r="AG30" i="5" s="1"/>
  <c r="W35" i="5"/>
  <c r="Y35" i="5" s="1"/>
  <c r="AF52" i="5"/>
  <c r="AH52" i="5" s="1"/>
  <c r="V70" i="7"/>
  <c r="E13" i="2"/>
  <c r="O28" i="3"/>
  <c r="Y46" i="3"/>
  <c r="Z46" i="3" s="1"/>
  <c r="X56" i="5"/>
  <c r="Z56" i="5" s="1"/>
  <c r="W56" i="5"/>
  <c r="Y56" i="5" s="1"/>
  <c r="U56" i="5"/>
  <c r="AB56" i="5"/>
  <c r="AD56" i="5" s="1"/>
  <c r="AA56" i="5"/>
  <c r="AC56" i="5" s="1"/>
  <c r="U24" i="6"/>
  <c r="P24" i="6"/>
  <c r="O24" i="6"/>
  <c r="Q7" i="3"/>
  <c r="R7" i="3" s="1"/>
  <c r="R9" i="3"/>
  <c r="O9" i="3"/>
  <c r="V9" i="3"/>
  <c r="Y10" i="3"/>
  <c r="Z10" i="3" s="1"/>
  <c r="O14" i="3"/>
  <c r="T26" i="3"/>
  <c r="T30" i="3"/>
  <c r="Y30" i="3"/>
  <c r="Z30" i="3" s="1"/>
  <c r="S30" i="3"/>
  <c r="O43" i="3"/>
  <c r="Z47" i="3"/>
  <c r="S6" i="4"/>
  <c r="Y6" i="4"/>
  <c r="Z6" i="4" s="1"/>
  <c r="R10" i="4"/>
  <c r="J65" i="9" s="1"/>
  <c r="O10" i="4"/>
  <c r="H65" i="9" s="1"/>
  <c r="V20" i="4"/>
  <c r="O20" i="4"/>
  <c r="P20" i="4" s="1"/>
  <c r="O28" i="4"/>
  <c r="P28" i="4" s="1"/>
  <c r="R46" i="4"/>
  <c r="O46" i="4"/>
  <c r="P46" i="4" s="1"/>
  <c r="V46" i="4"/>
  <c r="R48" i="4"/>
  <c r="O48" i="4"/>
  <c r="P48" i="4" s="1"/>
  <c r="AF30" i="5"/>
  <c r="AH30" i="5" s="1"/>
  <c r="X35" i="5"/>
  <c r="Z35" i="5" s="1"/>
  <c r="AB48" i="5"/>
  <c r="AD48" i="5" s="1"/>
  <c r="AE59" i="5"/>
  <c r="AG59" i="5" s="1"/>
  <c r="AF59" i="5"/>
  <c r="AH59" i="5" s="1"/>
  <c r="AA59" i="5"/>
  <c r="AC59" i="5" s="1"/>
  <c r="U59" i="5"/>
  <c r="W66" i="5"/>
  <c r="Y66" i="5" s="1"/>
  <c r="P20" i="6"/>
  <c r="O20" i="6"/>
  <c r="U20" i="6"/>
  <c r="AB60" i="7"/>
  <c r="AD60" i="7" s="1"/>
  <c r="O34" i="4"/>
  <c r="P34" i="4" s="1"/>
  <c r="V34" i="4"/>
  <c r="R34" i="4"/>
  <c r="AE52" i="5"/>
  <c r="AG52" i="5" s="1"/>
  <c r="R19" i="3"/>
  <c r="J16" i="9" s="1"/>
  <c r="V24" i="3"/>
  <c r="O30" i="3"/>
  <c r="O32" i="3"/>
  <c r="S32" i="3"/>
  <c r="Q41" i="3"/>
  <c r="R41" i="3" s="1"/>
  <c r="O45" i="3"/>
  <c r="O47" i="3"/>
  <c r="S10" i="4"/>
  <c r="T10" i="4"/>
  <c r="V18" i="4"/>
  <c r="S24" i="4"/>
  <c r="S26" i="4"/>
  <c r="Y26" i="4"/>
  <c r="Z26" i="4" s="1"/>
  <c r="S46" i="4"/>
  <c r="T46" i="4"/>
  <c r="S48" i="4"/>
  <c r="T48" i="4"/>
  <c r="N7" i="5"/>
  <c r="P7" i="5" s="1"/>
  <c r="W22" i="5"/>
  <c r="Y22" i="5" s="1"/>
  <c r="AF48" i="5"/>
  <c r="AH48" i="5" s="1"/>
  <c r="D42" i="2"/>
  <c r="X31" i="7"/>
  <c r="Z31" i="7" s="1"/>
  <c r="V30" i="4"/>
  <c r="O30" i="4"/>
  <c r="P30" i="4" s="1"/>
  <c r="R22" i="3"/>
  <c r="J28" i="9" s="1"/>
  <c r="O54" i="3"/>
  <c r="AB12" i="5"/>
  <c r="AD12" i="5" s="1"/>
  <c r="AF27" i="5"/>
  <c r="AH27" i="5" s="1"/>
  <c r="U27" i="5"/>
  <c r="O58" i="3"/>
  <c r="P58" i="3" s="1"/>
  <c r="S58" i="3"/>
  <c r="S7" i="3"/>
  <c r="S19" i="3"/>
  <c r="V26" i="3"/>
  <c r="S28" i="3"/>
  <c r="Y35" i="3"/>
  <c r="Z35" i="3" s="1"/>
  <c r="V49" i="3"/>
  <c r="R8" i="4"/>
  <c r="R16" i="4"/>
  <c r="O16" i="4"/>
  <c r="P16" i="4" s="1"/>
  <c r="V16" i="4"/>
  <c r="S18" i="4"/>
  <c r="Y18" i="4"/>
  <c r="Z18" i="4" s="1"/>
  <c r="T18" i="4"/>
  <c r="Q18" i="4"/>
  <c r="R18" i="4" s="1"/>
  <c r="J26" i="9" s="1"/>
  <c r="O44" i="4"/>
  <c r="P44" i="4" s="1"/>
  <c r="V44" i="4"/>
  <c r="W11" i="5"/>
  <c r="Y11" i="5" s="1"/>
  <c r="AE11" i="5"/>
  <c r="AG11" i="5" s="1"/>
  <c r="AB11" i="5"/>
  <c r="AD11" i="5" s="1"/>
  <c r="X22" i="5"/>
  <c r="Z22" i="5" s="1"/>
  <c r="X27" i="5"/>
  <c r="Z27" i="5" s="1"/>
  <c r="AE35" i="5"/>
  <c r="AG35" i="5" s="1"/>
  <c r="U43" i="5"/>
  <c r="X50" i="5"/>
  <c r="Z50" i="5" s="1"/>
  <c r="AE62" i="5"/>
  <c r="AG62" i="5" s="1"/>
  <c r="AF62" i="5"/>
  <c r="AH62" i="5" s="1"/>
  <c r="AB62" i="5"/>
  <c r="AD62" i="5" s="1"/>
  <c r="X62" i="5"/>
  <c r="Z62" i="5" s="1"/>
  <c r="W62" i="5"/>
  <c r="Y62" i="5" s="1"/>
  <c r="AA67" i="5"/>
  <c r="AC67" i="5" s="1"/>
  <c r="V60" i="3"/>
  <c r="O60" i="3"/>
  <c r="AA52" i="5"/>
  <c r="AC52" i="5" s="1"/>
  <c r="T7" i="3"/>
  <c r="T28" i="3"/>
  <c r="S41" i="3"/>
  <c r="V54" i="3"/>
  <c r="S16" i="4"/>
  <c r="Y16" i="4"/>
  <c r="Z16" i="4" s="1"/>
  <c r="V28" i="4"/>
  <c r="R40" i="4"/>
  <c r="S44" i="4"/>
  <c r="Y44" i="4"/>
  <c r="Z44" i="4" s="1"/>
  <c r="AE17" i="5"/>
  <c r="AG17" i="5" s="1"/>
  <c r="AA27" i="5"/>
  <c r="AC27" i="5" s="1"/>
  <c r="AB46" i="5"/>
  <c r="AD46" i="5" s="1"/>
  <c r="W46" i="5"/>
  <c r="Y46" i="5" s="1"/>
  <c r="U46" i="5"/>
  <c r="AA46" i="5"/>
  <c r="AC46" i="5" s="1"/>
  <c r="O7" i="3"/>
  <c r="O26" i="3"/>
  <c r="H5" i="9" s="1"/>
  <c r="R50" i="3"/>
  <c r="J71" i="9" s="1"/>
  <c r="Y34" i="4"/>
  <c r="Z34" i="4" s="1"/>
  <c r="T34" i="4"/>
  <c r="S34" i="4"/>
  <c r="S14" i="3"/>
  <c r="V16" i="3"/>
  <c r="R16" i="3"/>
  <c r="Y24" i="3"/>
  <c r="Z24" i="3" s="1"/>
  <c r="R30" i="3"/>
  <c r="R36" i="3"/>
  <c r="S45" i="3"/>
  <c r="R47" i="3"/>
  <c r="O49" i="3"/>
  <c r="Y58" i="3"/>
  <c r="Z58" i="3" s="1"/>
  <c r="V10" i="4"/>
  <c r="T26" i="4"/>
  <c r="T40" i="4"/>
  <c r="S42" i="4"/>
  <c r="Q44" i="4"/>
  <c r="R44" i="4" s="1"/>
  <c r="V48" i="4"/>
  <c r="W53" i="5"/>
  <c r="Y53" i="5" s="1"/>
  <c r="W51" i="5"/>
  <c r="Y51" i="5" s="1"/>
  <c r="AA34" i="5"/>
  <c r="AC34" i="5" s="1"/>
  <c r="W31" i="5"/>
  <c r="Y31" i="5" s="1"/>
  <c r="AB47" i="5"/>
  <c r="AD47" i="5" s="1"/>
  <c r="AA6" i="5"/>
  <c r="AC6" i="5" s="1"/>
  <c r="AA57" i="5"/>
  <c r="AC57" i="5" s="1"/>
  <c r="AF42" i="5"/>
  <c r="AH42" i="5" s="1"/>
  <c r="AE64" i="5"/>
  <c r="AG64" i="5" s="1"/>
  <c r="M64" i="5" s="1"/>
  <c r="O64" i="5" s="1"/>
  <c r="W54" i="5"/>
  <c r="Y54" i="5" s="1"/>
  <c r="AB51" i="5"/>
  <c r="AD51" i="5" s="1"/>
  <c r="W33" i="5"/>
  <c r="Y33" i="5" s="1"/>
  <c r="W69" i="5"/>
  <c r="Y69" i="5" s="1"/>
  <c r="X6" i="5"/>
  <c r="Z6" i="5" s="1"/>
  <c r="AF55" i="5"/>
  <c r="AH55" i="5" s="1"/>
  <c r="X47" i="5"/>
  <c r="Z47" i="5" s="1"/>
  <c r="AE42" i="5"/>
  <c r="AG42" i="5" s="1"/>
  <c r="AA31" i="5"/>
  <c r="AC31" i="5" s="1"/>
  <c r="W6" i="5"/>
  <c r="Y6" i="5" s="1"/>
  <c r="X51" i="5"/>
  <c r="Z51" i="5" s="1"/>
  <c r="W17" i="5"/>
  <c r="Y17" i="5" s="1"/>
  <c r="AB13" i="5"/>
  <c r="AD13" i="5" s="1"/>
  <c r="AF8" i="5"/>
  <c r="AH8" i="5" s="1"/>
  <c r="N8" i="5" s="1"/>
  <c r="P8" i="5" s="1"/>
  <c r="AE57" i="5"/>
  <c r="AG57" i="5" s="1"/>
  <c r="AA55" i="5"/>
  <c r="AC55" i="5" s="1"/>
  <c r="AF53" i="5"/>
  <c r="AH53" i="5" s="1"/>
  <c r="W42" i="5"/>
  <c r="Y42" i="5" s="1"/>
  <c r="AF34" i="5"/>
  <c r="AH34" i="5" s="1"/>
  <c r="AA13" i="5"/>
  <c r="AC13" i="5" s="1"/>
  <c r="AE8" i="5"/>
  <c r="AG8" i="5" s="1"/>
  <c r="M8" i="5" s="1"/>
  <c r="O8" i="5" s="1"/>
  <c r="K63" i="9" s="1"/>
  <c r="U6" i="5"/>
  <c r="AE53" i="5"/>
  <c r="AG53" i="5" s="1"/>
  <c r="AE34" i="5"/>
  <c r="AG34" i="5" s="1"/>
  <c r="W68" i="5"/>
  <c r="Y68" i="5" s="1"/>
  <c r="W61" i="5"/>
  <c r="Y61" i="5" s="1"/>
  <c r="AF35" i="5"/>
  <c r="AH35" i="5" s="1"/>
  <c r="AE69" i="5"/>
  <c r="AG69" i="5" s="1"/>
  <c r="AA54" i="5"/>
  <c r="AC54" i="5" s="1"/>
  <c r="AA48" i="5"/>
  <c r="AC48" i="5" s="1"/>
  <c r="AB35" i="5"/>
  <c r="AD35" i="5" s="1"/>
  <c r="AA33" i="5"/>
  <c r="AC33" i="5" s="1"/>
  <c r="AF17" i="5"/>
  <c r="AH17" i="5" s="1"/>
  <c r="W16" i="5"/>
  <c r="Y16" i="5" s="1"/>
  <c r="AA12" i="5"/>
  <c r="AC12" i="5" s="1"/>
  <c r="W9" i="5"/>
  <c r="Y9" i="5" s="1"/>
  <c r="AE22" i="5"/>
  <c r="AG22" i="5" s="1"/>
  <c r="AB27" i="5"/>
  <c r="AD27" i="5" s="1"/>
  <c r="X31" i="5"/>
  <c r="Z31" i="5" s="1"/>
  <c r="X33" i="5"/>
  <c r="Z33" i="5" s="1"/>
  <c r="X38" i="5"/>
  <c r="Z38" i="5" s="1"/>
  <c r="W38" i="5"/>
  <c r="Y38" i="5" s="1"/>
  <c r="U38" i="5"/>
  <c r="AF38" i="5"/>
  <c r="AH38" i="5" s="1"/>
  <c r="AE38" i="5"/>
  <c r="AG38" i="5" s="1"/>
  <c r="V17" i="3"/>
  <c r="Y9" i="4"/>
  <c r="Z9" i="4" s="1"/>
  <c r="S9" i="4"/>
  <c r="R26" i="4"/>
  <c r="J6" i="9" s="1"/>
  <c r="O26" i="4"/>
  <c r="Y47" i="4"/>
  <c r="Z47" i="4" s="1"/>
  <c r="T47" i="4"/>
  <c r="W14" i="5"/>
  <c r="Y14" i="5" s="1"/>
  <c r="X14" i="5"/>
  <c r="Z14" i="5" s="1"/>
  <c r="AE11" i="7"/>
  <c r="AG11" i="7" s="1"/>
  <c r="W48" i="7"/>
  <c r="Y48" i="7" s="1"/>
  <c r="E48" i="9"/>
  <c r="V54" i="8"/>
  <c r="X50" i="7"/>
  <c r="Z50" i="7" s="1"/>
  <c r="AA60" i="7"/>
  <c r="AC60" i="7" s="1"/>
  <c r="AE16" i="7"/>
  <c r="AG16" i="7" s="1"/>
  <c r="O26" i="8"/>
  <c r="U26" i="8"/>
  <c r="S6" i="9" s="1"/>
  <c r="P26" i="8"/>
  <c r="F6" i="9"/>
  <c r="U18" i="8"/>
  <c r="O18" i="8"/>
  <c r="U16" i="6"/>
  <c r="P16" i="6"/>
  <c r="E69" i="9"/>
  <c r="G69" i="9" s="1"/>
  <c r="U40" i="7"/>
  <c r="S69" i="9" s="1"/>
  <c r="N41" i="7"/>
  <c r="P41" i="7" s="1"/>
  <c r="O5" i="6"/>
  <c r="H54" i="6"/>
  <c r="E29" i="9"/>
  <c r="U24" i="7"/>
  <c r="S29" i="9" s="1"/>
  <c r="U7" i="8"/>
  <c r="P7" i="8"/>
  <c r="F62" i="9"/>
  <c r="U36" i="6"/>
  <c r="P36" i="6"/>
  <c r="O36" i="6"/>
  <c r="E63" i="9"/>
  <c r="G63" i="9" s="1"/>
  <c r="X8" i="7"/>
  <c r="Z8" i="7" s="1"/>
  <c r="AA8" i="7"/>
  <c r="AC8" i="7" s="1"/>
  <c r="W8" i="7"/>
  <c r="Y8" i="7" s="1"/>
  <c r="U8" i="7"/>
  <c r="S63" i="9" s="1"/>
  <c r="AF8" i="7"/>
  <c r="AH8" i="7" s="1"/>
  <c r="AE8" i="7"/>
  <c r="AG8" i="7" s="1"/>
  <c r="X23" i="7"/>
  <c r="Z23" i="7" s="1"/>
  <c r="AF13" i="7"/>
  <c r="AH13" i="7" s="1"/>
  <c r="E30" i="9"/>
  <c r="U32" i="7"/>
  <c r="P18" i="8"/>
  <c r="T61" i="3"/>
  <c r="S61" i="3"/>
  <c r="S20" i="4"/>
  <c r="T20" i="4"/>
  <c r="Q20" i="4"/>
  <c r="R20" i="4" s="1"/>
  <c r="AF44" i="5"/>
  <c r="AH44" i="5" s="1"/>
  <c r="N44" i="5" s="1"/>
  <c r="P44" i="5" s="1"/>
  <c r="AE44" i="5"/>
  <c r="AG44" i="5" s="1"/>
  <c r="M44" i="5" s="1"/>
  <c r="O44" i="5" s="1"/>
  <c r="U44" i="5"/>
  <c r="O16" i="6"/>
  <c r="AF28" i="7"/>
  <c r="AH28" i="7" s="1"/>
  <c r="N28" i="7" s="1"/>
  <c r="P28" i="7" s="1"/>
  <c r="P66" i="9" s="1"/>
  <c r="AE28" i="7"/>
  <c r="AG28" i="7" s="1"/>
  <c r="M28" i="7" s="1"/>
  <c r="O28" i="7" s="1"/>
  <c r="O66" i="9" s="1"/>
  <c r="U28" i="7"/>
  <c r="S66" i="9" s="1"/>
  <c r="H54" i="8"/>
  <c r="V40" i="3"/>
  <c r="R56" i="3"/>
  <c r="V56" i="3"/>
  <c r="O22" i="4"/>
  <c r="P22" i="4" s="1"/>
  <c r="Q29" i="4"/>
  <c r="R29" i="4" s="1"/>
  <c r="J7" i="9" s="1"/>
  <c r="Y29" i="4"/>
  <c r="Z29" i="4" s="1"/>
  <c r="V31" i="4"/>
  <c r="R36" i="4"/>
  <c r="O36" i="4"/>
  <c r="P36" i="4" s="1"/>
  <c r="X12" i="5"/>
  <c r="Z12" i="5" s="1"/>
  <c r="W12" i="5"/>
  <c r="Y12" i="5" s="1"/>
  <c r="U12" i="5"/>
  <c r="AF12" i="5"/>
  <c r="AH12" i="5" s="1"/>
  <c r="AE12" i="5"/>
  <c r="AG12" i="5" s="1"/>
  <c r="U19" i="5"/>
  <c r="U35" i="5"/>
  <c r="AA35" i="5"/>
  <c r="AC35" i="5" s="1"/>
  <c r="P5" i="6"/>
  <c r="X54" i="7"/>
  <c r="Z54" i="7" s="1"/>
  <c r="O7" i="8"/>
  <c r="E66" i="9"/>
  <c r="G66" i="9" s="1"/>
  <c r="O18" i="3"/>
  <c r="O21" i="3"/>
  <c r="V37" i="3"/>
  <c r="O29" i="4"/>
  <c r="Y31" i="4"/>
  <c r="Z31" i="4" s="1"/>
  <c r="T31" i="4"/>
  <c r="S36" i="4"/>
  <c r="T36" i="4"/>
  <c r="S50" i="4"/>
  <c r="Y50" i="4"/>
  <c r="Z50" i="4" s="1"/>
  <c r="AA39" i="5"/>
  <c r="AC39" i="5" s="1"/>
  <c r="X39" i="5"/>
  <c r="Z39" i="5" s="1"/>
  <c r="AE39" i="5"/>
  <c r="AG39" i="5" s="1"/>
  <c r="AB39" i="5"/>
  <c r="AD39" i="5" s="1"/>
  <c r="W39" i="5"/>
  <c r="Y39" i="5" s="1"/>
  <c r="U39" i="5"/>
  <c r="U5" i="6"/>
  <c r="AB8" i="7"/>
  <c r="AD8" i="7" s="1"/>
  <c r="AF14" i="7"/>
  <c r="AH14" i="7" s="1"/>
  <c r="AE14" i="7"/>
  <c r="AG14" i="7" s="1"/>
  <c r="E54" i="9"/>
  <c r="AB14" i="7"/>
  <c r="AD14" i="7" s="1"/>
  <c r="AA14" i="7"/>
  <c r="AC14" i="7" s="1"/>
  <c r="X14" i="7"/>
  <c r="Z14" i="7" s="1"/>
  <c r="W14" i="7"/>
  <c r="Y14" i="7" s="1"/>
  <c r="U14" i="7"/>
  <c r="AE26" i="7"/>
  <c r="AG26" i="7" s="1"/>
  <c r="M26" i="7" s="1"/>
  <c r="O26" i="7" s="1"/>
  <c r="O5" i="9" s="1"/>
  <c r="AB62" i="7"/>
  <c r="AD62" i="7" s="1"/>
  <c r="AA62" i="7"/>
  <c r="AC62" i="7" s="1"/>
  <c r="X62" i="7"/>
  <c r="Z62" i="7" s="1"/>
  <c r="W62" i="7"/>
  <c r="Y62" i="7" s="1"/>
  <c r="U62" i="7"/>
  <c r="AF62" i="7"/>
  <c r="AH62" i="7" s="1"/>
  <c r="AE62" i="7"/>
  <c r="AG62" i="7" s="1"/>
  <c r="O40" i="3"/>
  <c r="H69" i="9" s="1"/>
  <c r="Q43" i="3"/>
  <c r="R43" i="3" s="1"/>
  <c r="O48" i="3"/>
  <c r="H35" i="9" s="1"/>
  <c r="O56" i="3"/>
  <c r="O15" i="4"/>
  <c r="O31" i="4"/>
  <c r="P31" i="4" s="1"/>
  <c r="O50" i="4"/>
  <c r="P50" i="4" s="1"/>
  <c r="AB23" i="5"/>
  <c r="AD23" i="5" s="1"/>
  <c r="U23" i="5"/>
  <c r="X23" i="5"/>
  <c r="Z23" i="5" s="1"/>
  <c r="V54" i="6"/>
  <c r="U9" i="6"/>
  <c r="P9" i="6"/>
  <c r="U13" i="6"/>
  <c r="P13" i="6"/>
  <c r="O13" i="6"/>
  <c r="O41" i="6"/>
  <c r="U41" i="6"/>
  <c r="P41" i="6"/>
  <c r="O29" i="3"/>
  <c r="O37" i="3"/>
  <c r="S43" i="3"/>
  <c r="R22" i="4"/>
  <c r="O24" i="4"/>
  <c r="P24" i="4" s="1"/>
  <c r="S29" i="4"/>
  <c r="O52" i="4"/>
  <c r="P52" i="4" s="1"/>
  <c r="S52" i="4"/>
  <c r="V70" i="5"/>
  <c r="U6" i="6"/>
  <c r="O6" i="6"/>
  <c r="O29" i="6"/>
  <c r="K7" i="9" s="1"/>
  <c r="U33" i="6"/>
  <c r="P33" i="6"/>
  <c r="O33" i="6"/>
  <c r="N19" i="7"/>
  <c r="P19" i="7" s="1"/>
  <c r="P16" i="9" s="1"/>
  <c r="E27" i="9"/>
  <c r="AA21" i="7"/>
  <c r="AC21" i="7" s="1"/>
  <c r="AF21" i="7"/>
  <c r="AH21" i="7" s="1"/>
  <c r="AE21" i="7"/>
  <c r="AG21" i="7" s="1"/>
  <c r="AB21" i="7"/>
  <c r="AD21" i="7" s="1"/>
  <c r="X21" i="7"/>
  <c r="Z21" i="7" s="1"/>
  <c r="W21" i="7"/>
  <c r="Y21" i="7" s="1"/>
  <c r="O35" i="6"/>
  <c r="U35" i="6"/>
  <c r="P35" i="6"/>
  <c r="E47" i="9"/>
  <c r="U33" i="7"/>
  <c r="F52" i="9"/>
  <c r="U38" i="8"/>
  <c r="P38" i="8"/>
  <c r="O38" i="8"/>
  <c r="G32" i="9"/>
  <c r="V58" i="3"/>
  <c r="R58" i="3"/>
  <c r="O14" i="4"/>
  <c r="X13" i="5"/>
  <c r="Z13" i="5" s="1"/>
  <c r="U13" i="5"/>
  <c r="U34" i="5"/>
  <c r="W34" i="5"/>
  <c r="Y34" i="5" s="1"/>
  <c r="AB42" i="5"/>
  <c r="AD42" i="5" s="1"/>
  <c r="AA42" i="5"/>
  <c r="AC42" i="5" s="1"/>
  <c r="X42" i="5"/>
  <c r="Z42" i="5" s="1"/>
  <c r="U42" i="5"/>
  <c r="M49" i="5"/>
  <c r="O49" i="5" s="1"/>
  <c r="U52" i="6"/>
  <c r="P52" i="6"/>
  <c r="O52" i="6"/>
  <c r="AE13" i="7"/>
  <c r="AG13" i="7" s="1"/>
  <c r="X13" i="7"/>
  <c r="Z13" i="7" s="1"/>
  <c r="W13" i="7"/>
  <c r="Y13" i="7" s="1"/>
  <c r="U13" i="7"/>
  <c r="M25" i="7"/>
  <c r="O25" i="7" s="1"/>
  <c r="E44" i="9"/>
  <c r="U27" i="7"/>
  <c r="E18" i="9"/>
  <c r="G18" i="9" s="1"/>
  <c r="E62" i="9"/>
  <c r="U7" i="7"/>
  <c r="AE46" i="7"/>
  <c r="AG46" i="7" s="1"/>
  <c r="AF23" i="7"/>
  <c r="AH23" i="7" s="1"/>
  <c r="AA46" i="7"/>
  <c r="AC46" i="7" s="1"/>
  <c r="X12" i="7"/>
  <c r="Z12" i="7" s="1"/>
  <c r="X69" i="7"/>
  <c r="Z69" i="7" s="1"/>
  <c r="X46" i="7"/>
  <c r="Z46" i="7" s="1"/>
  <c r="AB23" i="7"/>
  <c r="AD23" i="7" s="1"/>
  <c r="AF18" i="7"/>
  <c r="AH18" i="7" s="1"/>
  <c r="W12" i="7"/>
  <c r="Y12" i="7" s="1"/>
  <c r="W69" i="7"/>
  <c r="Y69" i="7" s="1"/>
  <c r="W46" i="7"/>
  <c r="Y46" i="7" s="1"/>
  <c r="AA23" i="7"/>
  <c r="AC23" i="7" s="1"/>
  <c r="AE18" i="7"/>
  <c r="AG18" i="7" s="1"/>
  <c r="AF42" i="7"/>
  <c r="AH42" i="7" s="1"/>
  <c r="AB37" i="7"/>
  <c r="AD37" i="7" s="1"/>
  <c r="AB54" i="7"/>
  <c r="AD54" i="7" s="1"/>
  <c r="W31" i="7"/>
  <c r="Y31" i="7" s="1"/>
  <c r="AA6" i="7"/>
  <c r="AC6" i="7" s="1"/>
  <c r="AA54" i="7"/>
  <c r="AC54" i="7" s="1"/>
  <c r="X36" i="7"/>
  <c r="Z36" i="7" s="1"/>
  <c r="AA22" i="7"/>
  <c r="AC22" i="7" s="1"/>
  <c r="W16" i="7"/>
  <c r="Y16" i="7" s="1"/>
  <c r="W10" i="7"/>
  <c r="Y10" i="7" s="1"/>
  <c r="AA18" i="7"/>
  <c r="AC18" i="7" s="1"/>
  <c r="W22" i="7"/>
  <c r="Y22" i="7" s="1"/>
  <c r="E31" i="9"/>
  <c r="U35" i="7"/>
  <c r="H54" i="4"/>
  <c r="S30" i="4"/>
  <c r="U9" i="5"/>
  <c r="AF18" i="5"/>
  <c r="AH18" i="5" s="1"/>
  <c r="AE18" i="5"/>
  <c r="AG18" i="5" s="1"/>
  <c r="AB18" i="5"/>
  <c r="AD18" i="5" s="1"/>
  <c r="X36" i="5"/>
  <c r="Z36" i="5" s="1"/>
  <c r="W36" i="5"/>
  <c r="Y36" i="5" s="1"/>
  <c r="U36" i="5"/>
  <c r="AB18" i="7"/>
  <c r="AD18" i="7" s="1"/>
  <c r="X22" i="7"/>
  <c r="Z22" i="7" s="1"/>
  <c r="O49" i="4"/>
  <c r="P49" i="4" s="1"/>
  <c r="AF25" i="5"/>
  <c r="AH25" i="5" s="1"/>
  <c r="AE25" i="5"/>
  <c r="AG25" i="5" s="1"/>
  <c r="AA25" i="5"/>
  <c r="AC25" i="5" s="1"/>
  <c r="X34" i="5"/>
  <c r="Z34" i="5" s="1"/>
  <c r="U41" i="5"/>
  <c r="U27" i="6"/>
  <c r="P27" i="6"/>
  <c r="P38" i="6"/>
  <c r="P42" i="6"/>
  <c r="O42" i="6"/>
  <c r="O49" i="6"/>
  <c r="U49" i="6"/>
  <c r="P49" i="6"/>
  <c r="AB11" i="7"/>
  <c r="AD11" i="7" s="1"/>
  <c r="AA11" i="7"/>
  <c r="AC11" i="7" s="1"/>
  <c r="E61" i="9"/>
  <c r="AF11" i="7"/>
  <c r="AH11" i="7" s="1"/>
  <c r="W11" i="7"/>
  <c r="Y11" i="7" s="1"/>
  <c r="U11" i="7"/>
  <c r="AA13" i="7"/>
  <c r="AC13" i="7" s="1"/>
  <c r="O23" i="6"/>
  <c r="AB13" i="7"/>
  <c r="AD13" i="7" s="1"/>
  <c r="W36" i="7"/>
  <c r="Y36" i="7" s="1"/>
  <c r="N40" i="7"/>
  <c r="P40" i="7" s="1"/>
  <c r="P69" i="9" s="1"/>
  <c r="AE47" i="7"/>
  <c r="AG47" i="7" s="1"/>
  <c r="AA47" i="7"/>
  <c r="AC47" i="7" s="1"/>
  <c r="X47" i="7"/>
  <c r="Z47" i="7" s="1"/>
  <c r="W47" i="7"/>
  <c r="Y47" i="7" s="1"/>
  <c r="U47" i="7"/>
  <c r="E34" i="9"/>
  <c r="AF47" i="7"/>
  <c r="AH47" i="7" s="1"/>
  <c r="AB47" i="7"/>
  <c r="AD47" i="7" s="1"/>
  <c r="W54" i="7"/>
  <c r="Y54" i="7" s="1"/>
  <c r="E67" i="9"/>
  <c r="G67" i="9" s="1"/>
  <c r="U66" i="7"/>
  <c r="S67" i="9" s="1"/>
  <c r="F38" i="9"/>
  <c r="U49" i="8"/>
  <c r="S38" i="9" s="1"/>
  <c r="P49" i="8"/>
  <c r="O49" i="8"/>
  <c r="X17" i="5"/>
  <c r="Z17" i="5" s="1"/>
  <c r="AB33" i="5"/>
  <c r="AD33" i="5" s="1"/>
  <c r="AA37" i="5"/>
  <c r="AC37" i="5" s="1"/>
  <c r="AF47" i="5"/>
  <c r="AH47" i="5" s="1"/>
  <c r="W47" i="5"/>
  <c r="Y47" i="5" s="1"/>
  <c r="W48" i="5"/>
  <c r="Y48" i="5" s="1"/>
  <c r="AB55" i="5"/>
  <c r="AD55" i="5" s="1"/>
  <c r="X57" i="5"/>
  <c r="Z57" i="5" s="1"/>
  <c r="U57" i="5"/>
  <c r="AE63" i="5"/>
  <c r="AG63" i="5" s="1"/>
  <c r="AF64" i="5"/>
  <c r="AH64" i="5" s="1"/>
  <c r="N64" i="5" s="1"/>
  <c r="P64" i="5" s="1"/>
  <c r="X69" i="5"/>
  <c r="Z69" i="5" s="1"/>
  <c r="U30" i="6"/>
  <c r="P30" i="6"/>
  <c r="O30" i="6"/>
  <c r="AB58" i="7"/>
  <c r="AD58" i="7" s="1"/>
  <c r="M57" i="7"/>
  <c r="O57" i="7" s="1"/>
  <c r="O72" i="9" s="1"/>
  <c r="M32" i="5"/>
  <c r="O32" i="5" s="1"/>
  <c r="AB37" i="5"/>
  <c r="AD37" i="5" s="1"/>
  <c r="AF63" i="5"/>
  <c r="AH63" i="5" s="1"/>
  <c r="AB66" i="5"/>
  <c r="AD66" i="5" s="1"/>
  <c r="X66" i="5"/>
  <c r="Z66" i="5" s="1"/>
  <c r="N57" i="7"/>
  <c r="P57" i="7" s="1"/>
  <c r="P72" i="9" s="1"/>
  <c r="E23" i="9"/>
  <c r="G23" i="9" s="1"/>
  <c r="AB67" i="7"/>
  <c r="AD67" i="7" s="1"/>
  <c r="AA67" i="7"/>
  <c r="AC67" i="7" s="1"/>
  <c r="X67" i="7"/>
  <c r="Z67" i="7" s="1"/>
  <c r="W67" i="7"/>
  <c r="Y67" i="7" s="1"/>
  <c r="U67" i="7"/>
  <c r="S23" i="9" s="1"/>
  <c r="X16" i="5"/>
  <c r="Z16" i="5" s="1"/>
  <c r="X30" i="5"/>
  <c r="Z30" i="5" s="1"/>
  <c r="AB31" i="5"/>
  <c r="AD31" i="5" s="1"/>
  <c r="X53" i="5"/>
  <c r="Z53" i="5" s="1"/>
  <c r="AF57" i="5"/>
  <c r="AH57" i="5" s="1"/>
  <c r="X68" i="5"/>
  <c r="Z68" i="5" s="1"/>
  <c r="H70" i="5"/>
  <c r="AA47" i="5"/>
  <c r="AC47" i="5" s="1"/>
  <c r="W50" i="5"/>
  <c r="Y50" i="5" s="1"/>
  <c r="AE51" i="5"/>
  <c r="AG51" i="5" s="1"/>
  <c r="AB67" i="5"/>
  <c r="AD67" i="5" s="1"/>
  <c r="U21" i="6"/>
  <c r="P21" i="6"/>
  <c r="O21" i="6"/>
  <c r="U39" i="6"/>
  <c r="P39" i="6"/>
  <c r="O39" i="6"/>
  <c r="AF26" i="7"/>
  <c r="AH26" i="7" s="1"/>
  <c r="N26" i="7" s="1"/>
  <c r="P26" i="7" s="1"/>
  <c r="P5" i="9" s="1"/>
  <c r="U29" i="8"/>
  <c r="S7" i="9" s="1"/>
  <c r="P29" i="8"/>
  <c r="P7" i="9" s="1"/>
  <c r="O29" i="8"/>
  <c r="O7" i="9" s="1"/>
  <c r="E5" i="9"/>
  <c r="U58" i="5"/>
  <c r="AB58" i="5"/>
  <c r="AD58" i="5" s="1"/>
  <c r="AA58" i="5"/>
  <c r="AC58" i="5" s="1"/>
  <c r="W58" i="5"/>
  <c r="Y58" i="5" s="1"/>
  <c r="M17" i="7"/>
  <c r="O17" i="7" s="1"/>
  <c r="O57" i="9" s="1"/>
  <c r="E12" i="9"/>
  <c r="F14" i="9"/>
  <c r="G14" i="9" s="1"/>
  <c r="U41" i="8"/>
  <c r="AF67" i="5"/>
  <c r="AH67" i="5" s="1"/>
  <c r="AE66" i="5"/>
  <c r="AG66" i="5" s="1"/>
  <c r="AB63" i="5"/>
  <c r="AD63" i="5" s="1"/>
  <c r="AA62" i="5"/>
  <c r="AC62" i="5" s="1"/>
  <c r="X59" i="5"/>
  <c r="Z59" i="5" s="1"/>
  <c r="AF68" i="5"/>
  <c r="AH68" i="5" s="1"/>
  <c r="AE67" i="5"/>
  <c r="AG67" i="5" s="1"/>
  <c r="AA63" i="5"/>
  <c r="AC63" i="5" s="1"/>
  <c r="X60" i="5"/>
  <c r="Z60" i="5" s="1"/>
  <c r="W59" i="5"/>
  <c r="Y59" i="5" s="1"/>
  <c r="AF69" i="5"/>
  <c r="AH69" i="5" s="1"/>
  <c r="AE68" i="5"/>
  <c r="AG68" i="5" s="1"/>
  <c r="X61" i="5"/>
  <c r="Z61" i="5" s="1"/>
  <c r="W60" i="5"/>
  <c r="Y60" i="5" s="1"/>
  <c r="AF66" i="5"/>
  <c r="AH66" i="5" s="1"/>
  <c r="W63" i="5"/>
  <c r="Y63" i="5" s="1"/>
  <c r="AA66" i="5"/>
  <c r="AC66" i="5" s="1"/>
  <c r="AB59" i="5"/>
  <c r="AD59" i="5" s="1"/>
  <c r="W57" i="5"/>
  <c r="Y57" i="5" s="1"/>
  <c r="AE48" i="5"/>
  <c r="AG48" i="5" s="1"/>
  <c r="AF50" i="5"/>
  <c r="AH50" i="5" s="1"/>
  <c r="AA61" i="5"/>
  <c r="AC61" i="5" s="1"/>
  <c r="AA51" i="5"/>
  <c r="AC51" i="5" s="1"/>
  <c r="X48" i="5"/>
  <c r="Z48" i="5" s="1"/>
  <c r="AA16" i="5"/>
  <c r="AC16" i="5" s="1"/>
  <c r="AA30" i="5"/>
  <c r="AC30" i="5" s="1"/>
  <c r="AE31" i="5"/>
  <c r="AG31" i="5" s="1"/>
  <c r="AE47" i="5"/>
  <c r="AG47" i="5" s="1"/>
  <c r="AB52" i="5"/>
  <c r="AD52" i="5" s="1"/>
  <c r="AA53" i="5"/>
  <c r="AC53" i="5" s="1"/>
  <c r="AB68" i="5"/>
  <c r="AD68" i="5" s="1"/>
  <c r="N17" i="7"/>
  <c r="P17" i="7" s="1"/>
  <c r="P57" i="9" s="1"/>
  <c r="E10" i="9"/>
  <c r="U25" i="7"/>
  <c r="M32" i="7"/>
  <c r="O32" i="7" s="1"/>
  <c r="N66" i="7"/>
  <c r="P66" i="7" s="1"/>
  <c r="P67" i="9" s="1"/>
  <c r="AB16" i="5"/>
  <c r="AD16" i="5" s="1"/>
  <c r="AB30" i="5"/>
  <c r="AD30" i="5" s="1"/>
  <c r="AF31" i="5"/>
  <c r="AH31" i="5" s="1"/>
  <c r="X37" i="5"/>
  <c r="Z37" i="5" s="1"/>
  <c r="W37" i="5"/>
  <c r="Y37" i="5" s="1"/>
  <c r="AA50" i="5"/>
  <c r="AC50" i="5" s="1"/>
  <c r="U52" i="5"/>
  <c r="AB53" i="5"/>
  <c r="AD53" i="5" s="1"/>
  <c r="W55" i="5"/>
  <c r="Y55" i="5" s="1"/>
  <c r="U55" i="5"/>
  <c r="AE55" i="5"/>
  <c r="AG55" i="5" s="1"/>
  <c r="X63" i="5"/>
  <c r="Z63" i="5" s="1"/>
  <c r="U63" i="5"/>
  <c r="N7" i="7"/>
  <c r="P7" i="7" s="1"/>
  <c r="AB22" i="7"/>
  <c r="AD22" i="7" s="1"/>
  <c r="E28" i="9"/>
  <c r="G28" i="9" s="1"/>
  <c r="AF22" i="7"/>
  <c r="AH22" i="7" s="1"/>
  <c r="N32" i="7"/>
  <c r="P32" i="7" s="1"/>
  <c r="E49" i="9"/>
  <c r="G49" i="9" s="1"/>
  <c r="AF36" i="7"/>
  <c r="AH36" i="7" s="1"/>
  <c r="AE36" i="7"/>
  <c r="AG36" i="7" s="1"/>
  <c r="AB36" i="7"/>
  <c r="AD36" i="7" s="1"/>
  <c r="AA36" i="7"/>
  <c r="AC36" i="7" s="1"/>
  <c r="AE12" i="7"/>
  <c r="AG12" i="7" s="1"/>
  <c r="X16" i="7"/>
  <c r="Z16" i="7" s="1"/>
  <c r="AE23" i="7"/>
  <c r="AG23" i="7" s="1"/>
  <c r="AA37" i="7"/>
  <c r="AC37" i="7" s="1"/>
  <c r="M40" i="7"/>
  <c r="O40" i="7" s="1"/>
  <c r="O69" i="9" s="1"/>
  <c r="AE60" i="7"/>
  <c r="AG60" i="7" s="1"/>
  <c r="AB63" i="7"/>
  <c r="AD63" i="7" s="1"/>
  <c r="E17" i="9"/>
  <c r="G17" i="9" s="1"/>
  <c r="X63" i="7"/>
  <c r="Z63" i="7" s="1"/>
  <c r="W63" i="7"/>
  <c r="Y63" i="7" s="1"/>
  <c r="X10" i="7"/>
  <c r="Z10" i="7" s="1"/>
  <c r="N39" i="7"/>
  <c r="P39" i="7" s="1"/>
  <c r="P68" i="9" s="1"/>
  <c r="AB42" i="7"/>
  <c r="AD42" i="7" s="1"/>
  <c r="X42" i="7"/>
  <c r="Z42" i="7" s="1"/>
  <c r="AA42" i="7"/>
  <c r="AC42" i="7" s="1"/>
  <c r="E52" i="9"/>
  <c r="W42" i="7"/>
  <c r="Y42" i="7" s="1"/>
  <c r="U42" i="7"/>
  <c r="U9" i="8"/>
  <c r="P9" i="8"/>
  <c r="O9" i="8"/>
  <c r="F44" i="9"/>
  <c r="U24" i="8"/>
  <c r="AE63" i="7"/>
  <c r="AG63" i="7" s="1"/>
  <c r="AA69" i="7"/>
  <c r="AC69" i="7" s="1"/>
  <c r="X6" i="7"/>
  <c r="Z6" i="7" s="1"/>
  <c r="E60" i="9"/>
  <c r="W6" i="7"/>
  <c r="Y6" i="7" s="1"/>
  <c r="AA58" i="7"/>
  <c r="AC58" i="7" s="1"/>
  <c r="AB61" i="7"/>
  <c r="AD61" i="7" s="1"/>
  <c r="AF63" i="7"/>
  <c r="AH63" i="7" s="1"/>
  <c r="AB69" i="7"/>
  <c r="AD69" i="7" s="1"/>
  <c r="O46" i="8"/>
  <c r="U46" i="8"/>
  <c r="P46" i="8"/>
  <c r="G15" i="9"/>
  <c r="F20" i="9"/>
  <c r="G20" i="9" s="1"/>
  <c r="O12" i="6"/>
  <c r="O15" i="6"/>
  <c r="O43" i="6"/>
  <c r="E64" i="9"/>
  <c r="G64" i="9" s="1"/>
  <c r="AB12" i="7"/>
  <c r="AD12" i="7" s="1"/>
  <c r="M20" i="7"/>
  <c r="O20" i="7" s="1"/>
  <c r="E43" i="9"/>
  <c r="U23" i="7"/>
  <c r="S43" i="9" s="1"/>
  <c r="M65" i="7"/>
  <c r="O65" i="7" s="1"/>
  <c r="O33" i="9" s="1"/>
  <c r="O24" i="8"/>
  <c r="E73" i="9"/>
  <c r="G73" i="9" s="1"/>
  <c r="P12" i="6"/>
  <c r="P15" i="6"/>
  <c r="P22" i="6"/>
  <c r="O22" i="6"/>
  <c r="O40" i="6"/>
  <c r="P43" i="6"/>
  <c r="AF67" i="7"/>
  <c r="AH67" i="7" s="1"/>
  <c r="AE67" i="7"/>
  <c r="AG67" i="7" s="1"/>
  <c r="AA63" i="7"/>
  <c r="AC63" i="7" s="1"/>
  <c r="AF69" i="7"/>
  <c r="AH69" i="7" s="1"/>
  <c r="AE69" i="7"/>
  <c r="AG69" i="7" s="1"/>
  <c r="AE50" i="7"/>
  <c r="AG50" i="7" s="1"/>
  <c r="AF53" i="7"/>
  <c r="AH53" i="7" s="1"/>
  <c r="N53" i="7" s="1"/>
  <c r="P53" i="7" s="1"/>
  <c r="U5" i="7"/>
  <c r="AE53" i="7"/>
  <c r="AG53" i="7" s="1"/>
  <c r="M53" i="7" s="1"/>
  <c r="O53" i="7" s="1"/>
  <c r="AB50" i="7"/>
  <c r="AD50" i="7" s="1"/>
  <c r="X18" i="7"/>
  <c r="Z18" i="7" s="1"/>
  <c r="AE10" i="7"/>
  <c r="AG10" i="7" s="1"/>
  <c r="N20" i="7"/>
  <c r="P20" i="7" s="1"/>
  <c r="W38" i="7"/>
  <c r="Y38" i="7" s="1"/>
  <c r="E51" i="9"/>
  <c r="G51" i="9" s="1"/>
  <c r="U41" i="7"/>
  <c r="AF48" i="7"/>
  <c r="AH48" i="7" s="1"/>
  <c r="AE48" i="7"/>
  <c r="AG48" i="7" s="1"/>
  <c r="AB48" i="7"/>
  <c r="AD48" i="7" s="1"/>
  <c r="AA48" i="7"/>
  <c r="AC48" i="7" s="1"/>
  <c r="AE61" i="7"/>
  <c r="AG61" i="7" s="1"/>
  <c r="P24" i="8"/>
  <c r="F48" i="9"/>
  <c r="U32" i="8"/>
  <c r="S48" i="9" s="1"/>
  <c r="P40" i="6"/>
  <c r="AF10" i="7"/>
  <c r="AH10" i="7" s="1"/>
  <c r="AB31" i="7"/>
  <c r="AD31" i="7" s="1"/>
  <c r="AA31" i="7"/>
  <c r="AC31" i="7" s="1"/>
  <c r="E46" i="9"/>
  <c r="E50" i="9"/>
  <c r="G50" i="9" s="1"/>
  <c r="AF37" i="7"/>
  <c r="AH37" i="7" s="1"/>
  <c r="AE37" i="7"/>
  <c r="AG37" i="7" s="1"/>
  <c r="X37" i="7"/>
  <c r="Z37" i="7" s="1"/>
  <c r="X38" i="7"/>
  <c r="Z38" i="7" s="1"/>
  <c r="AE58" i="7"/>
  <c r="AG58" i="7" s="1"/>
  <c r="X60" i="7"/>
  <c r="Z60" i="7" s="1"/>
  <c r="W60" i="7"/>
  <c r="Y60" i="7" s="1"/>
  <c r="U60" i="7"/>
  <c r="AF60" i="7"/>
  <c r="AH60" i="7" s="1"/>
  <c r="AF61" i="7"/>
  <c r="AH61" i="7" s="1"/>
  <c r="H70" i="7"/>
  <c r="F34" i="9"/>
  <c r="P43" i="8"/>
  <c r="U43" i="8"/>
  <c r="O43" i="8"/>
  <c r="E35" i="9"/>
  <c r="G35" i="9" s="1"/>
  <c r="F61" i="9"/>
  <c r="U19" i="6"/>
  <c r="P19" i="6"/>
  <c r="O19" i="6"/>
  <c r="AF16" i="7"/>
  <c r="AH16" i="7" s="1"/>
  <c r="M19" i="7"/>
  <c r="O19" i="7" s="1"/>
  <c r="O16" i="9" s="1"/>
  <c r="AE42" i="7"/>
  <c r="AG42" i="7" s="1"/>
  <c r="U57" i="7"/>
  <c r="S72" i="9" s="1"/>
  <c r="AF58" i="7"/>
  <c r="AH58" i="7" s="1"/>
  <c r="F43" i="9"/>
  <c r="P21" i="8"/>
  <c r="U59" i="7"/>
  <c r="S39" i="9" s="1"/>
  <c r="F10" i="9"/>
  <c r="P23" i="8"/>
  <c r="U36" i="8"/>
  <c r="P36" i="8"/>
  <c r="O36" i="8"/>
  <c r="F11" i="9"/>
  <c r="G11" i="9" s="1"/>
  <c r="F13" i="9"/>
  <c r="AF50" i="7"/>
  <c r="AH50" i="7" s="1"/>
  <c r="X58" i="7"/>
  <c r="Z58" i="7" s="1"/>
  <c r="E56" i="9"/>
  <c r="W58" i="7"/>
  <c r="Y58" i="7" s="1"/>
  <c r="U58" i="7"/>
  <c r="AA61" i="7"/>
  <c r="AC61" i="7" s="1"/>
  <c r="U61" i="7"/>
  <c r="U16" i="8"/>
  <c r="P16" i="8"/>
  <c r="O16" i="8"/>
  <c r="U53" i="8"/>
  <c r="S9" i="9" s="1"/>
  <c r="P53" i="8"/>
  <c r="P9" i="9" s="1"/>
  <c r="O53" i="8"/>
  <c r="O9" i="9" s="1"/>
  <c r="M55" i="7"/>
  <c r="O55" i="7" s="1"/>
  <c r="O8" i="9" s="1"/>
  <c r="U33" i="8"/>
  <c r="P33" i="8"/>
  <c r="F31" i="9"/>
  <c r="O33" i="8"/>
  <c r="E70" i="9"/>
  <c r="U49" i="7"/>
  <c r="M51" i="7"/>
  <c r="O51" i="7" s="1"/>
  <c r="N55" i="7"/>
  <c r="P55" i="7" s="1"/>
  <c r="P8" i="9" s="1"/>
  <c r="P6" i="8"/>
  <c r="U13" i="8"/>
  <c r="P13" i="8"/>
  <c r="O13" i="8"/>
  <c r="O23" i="8"/>
  <c r="F56" i="9"/>
  <c r="U50" i="8"/>
  <c r="P50" i="8"/>
  <c r="O50" i="8"/>
  <c r="AA10" i="7"/>
  <c r="AC10" i="7" s="1"/>
  <c r="U6" i="8"/>
  <c r="S60" i="9" s="1"/>
  <c r="U23" i="8"/>
  <c r="F30" i="9"/>
  <c r="U30" i="8"/>
  <c r="P30" i="8"/>
  <c r="O30" i="8"/>
  <c r="F37" i="9"/>
  <c r="G37" i="9" s="1"/>
  <c r="U47" i="8"/>
  <c r="P47" i="8"/>
  <c r="AB10" i="7"/>
  <c r="AD10" i="7" s="1"/>
  <c r="U39" i="7"/>
  <c r="S68" i="9" s="1"/>
  <c r="AF46" i="7"/>
  <c r="AH46" i="7" s="1"/>
  <c r="AB46" i="7"/>
  <c r="AD46" i="7" s="1"/>
  <c r="E24" i="9"/>
  <c r="G24" i="9" s="1"/>
  <c r="U69" i="7"/>
  <c r="U10" i="8"/>
  <c r="S65" i="9" s="1"/>
  <c r="P10" i="8"/>
  <c r="P65" i="9" s="1"/>
  <c r="O10" i="8"/>
  <c r="O65" i="9" s="1"/>
  <c r="U27" i="8"/>
  <c r="S45" i="9" s="1"/>
  <c r="P27" i="8"/>
  <c r="O40" i="8"/>
  <c r="F70" i="9"/>
  <c r="U44" i="8"/>
  <c r="F60" i="9"/>
  <c r="E71" i="9"/>
  <c r="G71" i="9" s="1"/>
  <c r="O19" i="8"/>
  <c r="O39" i="8"/>
  <c r="P19" i="8"/>
  <c r="O22" i="8"/>
  <c r="P39" i="8"/>
  <c r="O42" i="8"/>
  <c r="P22" i="8"/>
  <c r="P42" i="8"/>
  <c r="T39" i="9" l="1"/>
  <c r="Q39" i="9"/>
  <c r="Q57" i="9"/>
  <c r="R39" i="9"/>
  <c r="T7" i="9"/>
  <c r="O47" i="9"/>
  <c r="T57" i="9"/>
  <c r="R57" i="9"/>
  <c r="I39" i="9"/>
  <c r="G13" i="9"/>
  <c r="T13" i="9" s="1"/>
  <c r="J42" i="9"/>
  <c r="J11" i="9"/>
  <c r="H48" i="9"/>
  <c r="P59" i="3"/>
  <c r="Q33" i="9"/>
  <c r="U33" i="9" s="1"/>
  <c r="O37" i="9"/>
  <c r="Q37" i="9" s="1"/>
  <c r="Q16" i="9"/>
  <c r="P12" i="3"/>
  <c r="J54" i="9"/>
  <c r="P55" i="3"/>
  <c r="I68" i="9"/>
  <c r="J45" i="9"/>
  <c r="R7" i="9"/>
  <c r="O18" i="9"/>
  <c r="Q18" i="9" s="1"/>
  <c r="G27" i="9"/>
  <c r="T27" i="9" s="1"/>
  <c r="P45" i="9"/>
  <c r="R45" i="9" s="1"/>
  <c r="J48" i="9"/>
  <c r="S25" i="9"/>
  <c r="T25" i="9" s="1"/>
  <c r="H18" i="9"/>
  <c r="I18" i="9" s="1"/>
  <c r="I26" i="9"/>
  <c r="S37" i="9"/>
  <c r="T37" i="9" s="1"/>
  <c r="J38" i="9"/>
  <c r="P18" i="4"/>
  <c r="P18" i="9"/>
  <c r="R18" i="9" s="1"/>
  <c r="J18" i="9"/>
  <c r="S36" i="9"/>
  <c r="T36" i="9" s="1"/>
  <c r="M7" i="9"/>
  <c r="N65" i="9"/>
  <c r="T65" i="9"/>
  <c r="Q7" i="9"/>
  <c r="I65" i="9"/>
  <c r="I58" i="9"/>
  <c r="I8" i="9"/>
  <c r="M65" i="9"/>
  <c r="T41" i="9"/>
  <c r="O36" i="9"/>
  <c r="Q36" i="9" s="1"/>
  <c r="G12" i="9"/>
  <c r="T12" i="9" s="1"/>
  <c r="J56" i="9"/>
  <c r="O48" i="9"/>
  <c r="M23" i="5"/>
  <c r="O23" i="5" s="1"/>
  <c r="K43" i="9" s="1"/>
  <c r="S40" i="9"/>
  <c r="T40" i="9" s="1"/>
  <c r="P59" i="9"/>
  <c r="R59" i="9" s="1"/>
  <c r="M54" i="7"/>
  <c r="O54" i="7" s="1"/>
  <c r="O21" i="9" s="1"/>
  <c r="Q21" i="9" s="1"/>
  <c r="Q65" i="9"/>
  <c r="R65" i="9"/>
  <c r="T72" i="9"/>
  <c r="S32" i="9"/>
  <c r="T32" i="9" s="1"/>
  <c r="K51" i="9"/>
  <c r="M51" i="9" s="1"/>
  <c r="O31" i="9"/>
  <c r="P6" i="9"/>
  <c r="J14" i="9"/>
  <c r="S14" i="9"/>
  <c r="T14" i="9" s="1"/>
  <c r="J53" i="9"/>
  <c r="Q72" i="9"/>
  <c r="S20" i="9"/>
  <c r="T20" i="9" s="1"/>
  <c r="S53" i="9"/>
  <c r="T53" i="9" s="1"/>
  <c r="T58" i="9"/>
  <c r="T45" i="9"/>
  <c r="H52" i="9"/>
  <c r="H34" i="9"/>
  <c r="P51" i="9"/>
  <c r="R51" i="9" s="1"/>
  <c r="R68" i="9"/>
  <c r="P36" i="9"/>
  <c r="R36" i="9" s="1"/>
  <c r="R22" i="9"/>
  <c r="P14" i="9"/>
  <c r="R14" i="9" s="1"/>
  <c r="R33" i="9"/>
  <c r="G46" i="9"/>
  <c r="T46" i="9" s="1"/>
  <c r="J41" i="9"/>
  <c r="R72" i="9"/>
  <c r="H31" i="9"/>
  <c r="P39" i="3"/>
  <c r="J25" i="9"/>
  <c r="I72" i="9"/>
  <c r="L51" i="9"/>
  <c r="N51" i="9" s="1"/>
  <c r="N51" i="5"/>
  <c r="P51" i="5" s="1"/>
  <c r="L36" i="9" s="1"/>
  <c r="N36" i="9" s="1"/>
  <c r="J12" i="9"/>
  <c r="N16" i="9"/>
  <c r="L62" i="9"/>
  <c r="H37" i="9"/>
  <c r="I37" i="9" s="1"/>
  <c r="P31" i="9"/>
  <c r="I16" i="9"/>
  <c r="L18" i="9"/>
  <c r="N18" i="9" s="1"/>
  <c r="O12" i="9"/>
  <c r="Q8" i="9"/>
  <c r="N34" i="5"/>
  <c r="P34" i="5" s="1"/>
  <c r="L48" i="9" s="1"/>
  <c r="O14" i="9"/>
  <c r="Q14" i="9" s="1"/>
  <c r="T68" i="9"/>
  <c r="O32" i="9"/>
  <c r="Q32" i="9" s="1"/>
  <c r="J50" i="9"/>
  <c r="T16" i="9"/>
  <c r="H61" i="9"/>
  <c r="P13" i="9"/>
  <c r="T8" i="9"/>
  <c r="J70" i="9"/>
  <c r="R8" i="9"/>
  <c r="R16" i="9"/>
  <c r="J47" i="9"/>
  <c r="M16" i="9"/>
  <c r="K30" i="9"/>
  <c r="Q68" i="9"/>
  <c r="P32" i="9"/>
  <c r="R32" i="9" s="1"/>
  <c r="G31" i="9"/>
  <c r="S47" i="9"/>
  <c r="M53" i="5"/>
  <c r="O53" i="5" s="1"/>
  <c r="K37" i="9" s="1"/>
  <c r="M37" i="9" s="1"/>
  <c r="O45" i="9"/>
  <c r="Q45" i="9" s="1"/>
  <c r="G47" i="9"/>
  <c r="M6" i="5"/>
  <c r="O6" i="5" s="1"/>
  <c r="K60" i="9" s="1"/>
  <c r="J55" i="9"/>
  <c r="M33" i="9"/>
  <c r="J21" i="9"/>
  <c r="M60" i="5"/>
  <c r="O60" i="5" s="1"/>
  <c r="K40" i="9" s="1"/>
  <c r="M40" i="9" s="1"/>
  <c r="N42" i="5"/>
  <c r="P42" i="5" s="1"/>
  <c r="L52" i="9" s="1"/>
  <c r="G29" i="9"/>
  <c r="T29" i="9" s="1"/>
  <c r="N33" i="9"/>
  <c r="G38" i="9"/>
  <c r="T38" i="9" s="1"/>
  <c r="K55" i="9"/>
  <c r="M55" i="9" s="1"/>
  <c r="N37" i="7"/>
  <c r="P37" i="7" s="1"/>
  <c r="P50" i="9" s="1"/>
  <c r="R50" i="9" s="1"/>
  <c r="S51" i="9"/>
  <c r="T51" i="9" s="1"/>
  <c r="H57" i="9"/>
  <c r="I57" i="9" s="1"/>
  <c r="S21" i="9"/>
  <c r="T21" i="9" s="1"/>
  <c r="O6" i="9"/>
  <c r="L70" i="9"/>
  <c r="K18" i="9"/>
  <c r="M18" i="9" s="1"/>
  <c r="N6" i="5"/>
  <c r="P6" i="5" s="1"/>
  <c r="L60" i="9" s="1"/>
  <c r="N52" i="5"/>
  <c r="P52" i="5" s="1"/>
  <c r="L20" i="9" s="1"/>
  <c r="N20" i="9" s="1"/>
  <c r="G62" i="9"/>
  <c r="O59" i="9"/>
  <c r="Q59" i="9" s="1"/>
  <c r="T33" i="9"/>
  <c r="G34" i="9"/>
  <c r="M14" i="5"/>
  <c r="O14" i="5" s="1"/>
  <c r="K54" i="9" s="1"/>
  <c r="N7" i="9"/>
  <c r="H55" i="9"/>
  <c r="I55" i="9" s="1"/>
  <c r="G6" i="9"/>
  <c r="M52" i="5"/>
  <c r="O52" i="5" s="1"/>
  <c r="K20" i="9" s="1"/>
  <c r="M20" i="9" s="1"/>
  <c r="N9" i="9"/>
  <c r="T22" i="9"/>
  <c r="K62" i="9"/>
  <c r="S24" i="9"/>
  <c r="T24" i="9" s="1"/>
  <c r="S52" i="9"/>
  <c r="H45" i="9"/>
  <c r="I45" i="9" s="1"/>
  <c r="L55" i="9"/>
  <c r="N55" i="9" s="1"/>
  <c r="M13" i="7"/>
  <c r="O13" i="7" s="1"/>
  <c r="O53" i="9" s="1"/>
  <c r="Q53" i="9" s="1"/>
  <c r="L59" i="9"/>
  <c r="N59" i="9" s="1"/>
  <c r="P10" i="9"/>
  <c r="M17" i="5"/>
  <c r="O17" i="5" s="1"/>
  <c r="K57" i="9" s="1"/>
  <c r="M57" i="9" s="1"/>
  <c r="H12" i="9"/>
  <c r="S56" i="9"/>
  <c r="O51" i="9"/>
  <c r="Q51" i="9" s="1"/>
  <c r="M63" i="5"/>
  <c r="O63" i="5" s="1"/>
  <c r="K17" i="9" s="1"/>
  <c r="M17" i="9" s="1"/>
  <c r="N54" i="7"/>
  <c r="P54" i="7" s="1"/>
  <c r="P21" i="9" s="1"/>
  <c r="R21" i="9" s="1"/>
  <c r="Q22" i="9"/>
  <c r="N14" i="5"/>
  <c r="P14" i="5" s="1"/>
  <c r="L54" i="9" s="1"/>
  <c r="P32" i="4"/>
  <c r="L13" i="9"/>
  <c r="M22" i="9"/>
  <c r="N38" i="7"/>
  <c r="P38" i="7" s="1"/>
  <c r="P11" i="9" s="1"/>
  <c r="R11" i="9" s="1"/>
  <c r="S31" i="9"/>
  <c r="P47" i="9"/>
  <c r="J31" i="9"/>
  <c r="H44" i="9"/>
  <c r="K70" i="9"/>
  <c r="J34" i="9"/>
  <c r="P62" i="9"/>
  <c r="P29" i="9"/>
  <c r="P50" i="3"/>
  <c r="N21" i="5"/>
  <c r="P21" i="5" s="1"/>
  <c r="L27" i="9" s="1"/>
  <c r="M6" i="7"/>
  <c r="O6" i="7" s="1"/>
  <c r="O60" i="9" s="1"/>
  <c r="S61" i="9"/>
  <c r="G54" i="9"/>
  <c r="H40" i="9"/>
  <c r="I40" i="9" s="1"/>
  <c r="M21" i="5"/>
  <c r="O21" i="5" s="1"/>
  <c r="K27" i="9" s="1"/>
  <c r="O70" i="9"/>
  <c r="L14" i="9"/>
  <c r="N14" i="9" s="1"/>
  <c r="N60" i="5"/>
  <c r="P60" i="5" s="1"/>
  <c r="L40" i="9" s="1"/>
  <c r="N40" i="9" s="1"/>
  <c r="M11" i="7"/>
  <c r="O11" i="7" s="1"/>
  <c r="O61" i="9" s="1"/>
  <c r="M9" i="5"/>
  <c r="O9" i="5" s="1"/>
  <c r="K32" i="9" s="1"/>
  <c r="M32" i="9" s="1"/>
  <c r="J15" i="9"/>
  <c r="O62" i="9"/>
  <c r="J10" i="9"/>
  <c r="P70" i="9"/>
  <c r="O13" i="9"/>
  <c r="S11" i="9"/>
  <c r="T11" i="9" s="1"/>
  <c r="N21" i="7"/>
  <c r="P21" i="7" s="1"/>
  <c r="P27" i="9" s="1"/>
  <c r="M51" i="5"/>
  <c r="O51" i="5" s="1"/>
  <c r="K36" i="9" s="1"/>
  <c r="M36" i="9" s="1"/>
  <c r="M39" i="5"/>
  <c r="O39" i="5" s="1"/>
  <c r="K68" i="9" s="1"/>
  <c r="M68" i="9" s="1"/>
  <c r="J43" i="9"/>
  <c r="M36" i="5"/>
  <c r="O36" i="5" s="1"/>
  <c r="K49" i="9" s="1"/>
  <c r="M49" i="9" s="1"/>
  <c r="N22" i="9"/>
  <c r="H30" i="9"/>
  <c r="T19" i="9"/>
  <c r="K12" i="9"/>
  <c r="N30" i="5"/>
  <c r="P30" i="5" s="1"/>
  <c r="L45" i="9" s="1"/>
  <c r="N45" i="9" s="1"/>
  <c r="P48" i="9"/>
  <c r="M61" i="5"/>
  <c r="O61" i="5" s="1"/>
  <c r="K15" i="9" s="1"/>
  <c r="M15" i="9" s="1"/>
  <c r="N56" i="5"/>
  <c r="P56" i="5" s="1"/>
  <c r="L38" i="9" s="1"/>
  <c r="O20" i="9"/>
  <c r="Q20" i="9" s="1"/>
  <c r="M38" i="7"/>
  <c r="O38" i="7" s="1"/>
  <c r="O11" i="9" s="1"/>
  <c r="M16" i="7"/>
  <c r="O16" i="7" s="1"/>
  <c r="O25" i="9" s="1"/>
  <c r="Q25" i="9" s="1"/>
  <c r="N16" i="5"/>
  <c r="P16" i="5" s="1"/>
  <c r="L25" i="9" s="1"/>
  <c r="N25" i="9" s="1"/>
  <c r="Q9" i="9"/>
  <c r="I9" i="9"/>
  <c r="M69" i="5"/>
  <c r="O69" i="5" s="1"/>
  <c r="K24" i="9" s="1"/>
  <c r="M24" i="9" s="1"/>
  <c r="N28" i="5"/>
  <c r="P28" i="5" s="1"/>
  <c r="L66" i="9" s="1"/>
  <c r="N66" i="9" s="1"/>
  <c r="P33" i="4"/>
  <c r="N13" i="7"/>
  <c r="P13" i="7" s="1"/>
  <c r="P53" i="9" s="1"/>
  <c r="R53" i="9" s="1"/>
  <c r="R9" i="9"/>
  <c r="G60" i="9"/>
  <c r="N63" i="7"/>
  <c r="P63" i="7" s="1"/>
  <c r="P17" i="9" s="1"/>
  <c r="R17" i="9" s="1"/>
  <c r="S10" i="9"/>
  <c r="M9" i="9"/>
  <c r="H51" i="9"/>
  <c r="I51" i="9" s="1"/>
  <c r="J52" i="9"/>
  <c r="N59" i="5"/>
  <c r="P59" i="5" s="1"/>
  <c r="L39" i="9" s="1"/>
  <c r="N39" i="9" s="1"/>
  <c r="P30" i="9"/>
  <c r="K13" i="9"/>
  <c r="N35" i="5"/>
  <c r="P35" i="5" s="1"/>
  <c r="L31" i="9" s="1"/>
  <c r="T9" i="9"/>
  <c r="N6" i="7"/>
  <c r="P6" i="7" s="1"/>
  <c r="P60" i="9" s="1"/>
  <c r="G10" i="9"/>
  <c r="N57" i="5"/>
  <c r="P57" i="5" s="1"/>
  <c r="L72" i="9" s="1"/>
  <c r="N72" i="9" s="1"/>
  <c r="U54" i="8"/>
  <c r="E63" i="2" s="1"/>
  <c r="O38" i="9"/>
  <c r="M11" i="5"/>
  <c r="O11" i="5" s="1"/>
  <c r="K61" i="9" s="1"/>
  <c r="N67" i="5"/>
  <c r="P67" i="5" s="1"/>
  <c r="L23" i="9" s="1"/>
  <c r="N23" i="9" s="1"/>
  <c r="N61" i="5"/>
  <c r="P61" i="5" s="1"/>
  <c r="L15" i="9" s="1"/>
  <c r="N15" i="9" s="1"/>
  <c r="J37" i="9"/>
  <c r="P53" i="4"/>
  <c r="J61" i="9"/>
  <c r="F74" i="9"/>
  <c r="N63" i="5"/>
  <c r="P63" i="5" s="1"/>
  <c r="L17" i="9" s="1"/>
  <c r="N17" i="9" s="1"/>
  <c r="N13" i="5"/>
  <c r="P13" i="5" s="1"/>
  <c r="L53" i="9" s="1"/>
  <c r="N53" i="9" s="1"/>
  <c r="P29" i="3"/>
  <c r="K6" i="9"/>
  <c r="H21" i="9"/>
  <c r="I21" i="9" s="1"/>
  <c r="M42" i="7"/>
  <c r="O42" i="7" s="1"/>
  <c r="O52" i="9" s="1"/>
  <c r="N48" i="5"/>
  <c r="P48" i="5" s="1"/>
  <c r="L35" i="9" s="1"/>
  <c r="N35" i="9" s="1"/>
  <c r="H19" i="9"/>
  <c r="I19" i="9" s="1"/>
  <c r="M68" i="5"/>
  <c r="O68" i="5" s="1"/>
  <c r="K73" i="9" s="1"/>
  <c r="M73" i="9" s="1"/>
  <c r="M28" i="5"/>
  <c r="O28" i="5" s="1"/>
  <c r="K66" i="9" s="1"/>
  <c r="M66" i="9" s="1"/>
  <c r="S15" i="9"/>
  <c r="T15" i="9" s="1"/>
  <c r="M59" i="5"/>
  <c r="O59" i="5" s="1"/>
  <c r="K39" i="9" s="1"/>
  <c r="M39" i="9" s="1"/>
  <c r="M50" i="5"/>
  <c r="O50" i="5" s="1"/>
  <c r="K71" i="9" s="1"/>
  <c r="M71" i="9" s="1"/>
  <c r="H41" i="9"/>
  <c r="I41" i="9" s="1"/>
  <c r="H62" i="9"/>
  <c r="H32" i="9"/>
  <c r="I32" i="9" s="1"/>
  <c r="P26" i="3"/>
  <c r="M26" i="5"/>
  <c r="O26" i="5" s="1"/>
  <c r="K5" i="9" s="1"/>
  <c r="J13" i="9"/>
  <c r="N37" i="5"/>
  <c r="P37" i="5" s="1"/>
  <c r="L50" i="9" s="1"/>
  <c r="N50" i="9" s="1"/>
  <c r="S26" i="9"/>
  <c r="T26" i="9" s="1"/>
  <c r="N62" i="7"/>
  <c r="P62" i="7" s="1"/>
  <c r="P26" i="9" s="1"/>
  <c r="R26" i="9" s="1"/>
  <c r="L30" i="9"/>
  <c r="P46" i="3"/>
  <c r="M55" i="5"/>
  <c r="O55" i="5" s="1"/>
  <c r="K8" i="9" s="1"/>
  <c r="M8" i="9" s="1"/>
  <c r="M58" i="5"/>
  <c r="O58" i="5" s="1"/>
  <c r="K56" i="9" s="1"/>
  <c r="P38" i="9"/>
  <c r="P30" i="3"/>
  <c r="M13" i="5"/>
  <c r="O13" i="5" s="1"/>
  <c r="K53" i="9" s="1"/>
  <c r="M53" i="9" s="1"/>
  <c r="J19" i="9"/>
  <c r="L6" i="9"/>
  <c r="N16" i="7"/>
  <c r="P16" i="7" s="1"/>
  <c r="P25" i="9" s="1"/>
  <c r="R25" i="9" s="1"/>
  <c r="N66" i="5"/>
  <c r="P66" i="5" s="1"/>
  <c r="L67" i="9" s="1"/>
  <c r="N67" i="9" s="1"/>
  <c r="M46" i="7"/>
  <c r="O46" i="7" s="1"/>
  <c r="O19" i="9" s="1"/>
  <c r="Q19" i="9" s="1"/>
  <c r="H29" i="9"/>
  <c r="J44" i="9"/>
  <c r="N11" i="5"/>
  <c r="P11" i="5" s="1"/>
  <c r="L61" i="9" s="1"/>
  <c r="P20" i="9"/>
  <c r="R20" i="9" s="1"/>
  <c r="P10" i="4"/>
  <c r="M8" i="7"/>
  <c r="O8" i="7" s="1"/>
  <c r="O63" i="9" s="1"/>
  <c r="Q63" i="9" s="1"/>
  <c r="J62" i="9"/>
  <c r="H42" i="9"/>
  <c r="I42" i="9" s="1"/>
  <c r="M58" i="7"/>
  <c r="O58" i="7" s="1"/>
  <c r="O56" i="9" s="1"/>
  <c r="U70" i="5"/>
  <c r="D35" i="2" s="1"/>
  <c r="D36" i="2" s="1"/>
  <c r="M69" i="7"/>
  <c r="O69" i="7" s="1"/>
  <c r="O24" i="9" s="1"/>
  <c r="Q24" i="9" s="1"/>
  <c r="J51" i="9"/>
  <c r="H15" i="9"/>
  <c r="I15" i="9" s="1"/>
  <c r="L63" i="9"/>
  <c r="N63" i="9" s="1"/>
  <c r="R54" i="4"/>
  <c r="C62" i="2" s="1"/>
  <c r="J27" i="9"/>
  <c r="O42" i="9"/>
  <c r="Q42" i="9" s="1"/>
  <c r="G5" i="9"/>
  <c r="E74" i="9"/>
  <c r="O44" i="9"/>
  <c r="N23" i="5"/>
  <c r="P23" i="5" s="1"/>
  <c r="L43" i="9" s="1"/>
  <c r="N55" i="5"/>
  <c r="P55" i="5" s="1"/>
  <c r="L8" i="9" s="1"/>
  <c r="N8" i="9" s="1"/>
  <c r="N25" i="5"/>
  <c r="P25" i="5" s="1"/>
  <c r="L10" i="9" s="1"/>
  <c r="J59" i="9"/>
  <c r="R62" i="3"/>
  <c r="C34" i="2" s="1"/>
  <c r="K14" i="9"/>
  <c r="M14" i="9" s="1"/>
  <c r="S44" i="9"/>
  <c r="T69" i="9"/>
  <c r="N69" i="9"/>
  <c r="M69" i="9"/>
  <c r="I69" i="9"/>
  <c r="Q69" i="9"/>
  <c r="R69" i="9"/>
  <c r="M31" i="5"/>
  <c r="O31" i="5" s="1"/>
  <c r="K46" i="9" s="1"/>
  <c r="M35" i="5"/>
  <c r="O35" i="5" s="1"/>
  <c r="K31" i="9" s="1"/>
  <c r="H59" i="9"/>
  <c r="I59" i="9" s="1"/>
  <c r="O62" i="3"/>
  <c r="P5" i="3"/>
  <c r="H20" i="9"/>
  <c r="I20" i="9" s="1"/>
  <c r="N24" i="5"/>
  <c r="P24" i="5" s="1"/>
  <c r="L29" i="9" s="1"/>
  <c r="I64" i="9"/>
  <c r="T64" i="9"/>
  <c r="M63" i="7"/>
  <c r="O63" i="7" s="1"/>
  <c r="O17" i="9" s="1"/>
  <c r="Q17" i="9" s="1"/>
  <c r="T28" i="9"/>
  <c r="N69" i="5"/>
  <c r="P69" i="5" s="1"/>
  <c r="L24" i="9" s="1"/>
  <c r="N24" i="9" s="1"/>
  <c r="G44" i="9"/>
  <c r="P29" i="4"/>
  <c r="H7" i="9"/>
  <c r="I7" i="9" s="1"/>
  <c r="P54" i="6"/>
  <c r="D45" i="2" s="1"/>
  <c r="N50" i="7"/>
  <c r="P50" i="7" s="1"/>
  <c r="P71" i="9" s="1"/>
  <c r="R71" i="9" s="1"/>
  <c r="M16" i="5"/>
  <c r="O16" i="5" s="1"/>
  <c r="K25" i="9" s="1"/>
  <c r="M25" i="9" s="1"/>
  <c r="P43" i="3"/>
  <c r="T54" i="4"/>
  <c r="C41" i="2"/>
  <c r="H47" i="9"/>
  <c r="M25" i="5"/>
  <c r="O25" i="5" s="1"/>
  <c r="K10" i="9" s="1"/>
  <c r="M67" i="5"/>
  <c r="O67" i="5" s="1"/>
  <c r="K23" i="9" s="1"/>
  <c r="M23" i="9" s="1"/>
  <c r="R67" i="9"/>
  <c r="Q67" i="9"/>
  <c r="T67" i="9"/>
  <c r="I67" i="9"/>
  <c r="O10" i="9"/>
  <c r="T50" i="9"/>
  <c r="I17" i="9"/>
  <c r="T17" i="9"/>
  <c r="M67" i="7"/>
  <c r="O67" i="7" s="1"/>
  <c r="O23" i="9" s="1"/>
  <c r="Q23" i="9" s="1"/>
  <c r="M37" i="5"/>
  <c r="O37" i="5" s="1"/>
  <c r="K50" i="9" s="1"/>
  <c r="M50" i="9" s="1"/>
  <c r="N67" i="7"/>
  <c r="P67" i="7" s="1"/>
  <c r="P23" i="9" s="1"/>
  <c r="R23" i="9" s="1"/>
  <c r="M12" i="7"/>
  <c r="O12" i="7" s="1"/>
  <c r="O64" i="9" s="1"/>
  <c r="Q64" i="9" s="1"/>
  <c r="H22" i="9"/>
  <c r="I22" i="9" s="1"/>
  <c r="P14" i="4"/>
  <c r="M21" i="7"/>
  <c r="O21" i="7" s="1"/>
  <c r="O27" i="9" s="1"/>
  <c r="H27" i="9"/>
  <c r="G48" i="9"/>
  <c r="P21" i="3"/>
  <c r="P7" i="3"/>
  <c r="H28" i="9"/>
  <c r="I28" i="9" s="1"/>
  <c r="P22" i="3"/>
  <c r="M18" i="5"/>
  <c r="O18" i="5" s="1"/>
  <c r="K41" i="9" s="1"/>
  <c r="M41" i="9" s="1"/>
  <c r="M24" i="5"/>
  <c r="O24" i="5" s="1"/>
  <c r="K29" i="9" s="1"/>
  <c r="N58" i="5"/>
  <c r="P58" i="5" s="1"/>
  <c r="L56" i="9" s="1"/>
  <c r="P42" i="3"/>
  <c r="T35" i="9"/>
  <c r="I35" i="9"/>
  <c r="N8" i="7"/>
  <c r="P8" i="7" s="1"/>
  <c r="P63" i="9" s="1"/>
  <c r="R63" i="9" s="1"/>
  <c r="O29" i="9"/>
  <c r="M62" i="5"/>
  <c r="O62" i="5" s="1"/>
  <c r="K26" i="9" s="1"/>
  <c r="M26" i="9" s="1"/>
  <c r="N31" i="7"/>
  <c r="P31" i="7" s="1"/>
  <c r="P46" i="9" s="1"/>
  <c r="M27" i="5"/>
  <c r="O27" i="5" s="1"/>
  <c r="K44" i="9" s="1"/>
  <c r="H24" i="9"/>
  <c r="I24" i="9" s="1"/>
  <c r="P15" i="4"/>
  <c r="U54" i="6"/>
  <c r="D63" i="2" s="1"/>
  <c r="M63" i="9"/>
  <c r="T63" i="9"/>
  <c r="I63" i="9"/>
  <c r="N62" i="5"/>
  <c r="P62" i="5" s="1"/>
  <c r="L26" i="9" s="1"/>
  <c r="N26" i="9" s="1"/>
  <c r="H14" i="9"/>
  <c r="I14" i="9" s="1"/>
  <c r="P45" i="3"/>
  <c r="N18" i="5"/>
  <c r="P18" i="5" s="1"/>
  <c r="L41" i="9" s="1"/>
  <c r="N41" i="9" s="1"/>
  <c r="N54" i="5"/>
  <c r="P54" i="5" s="1"/>
  <c r="L21" i="9" s="1"/>
  <c r="N21" i="9" s="1"/>
  <c r="H10" i="9"/>
  <c r="P25" i="3"/>
  <c r="N9" i="5"/>
  <c r="P9" i="5" s="1"/>
  <c r="L32" i="9" s="1"/>
  <c r="N32" i="9" s="1"/>
  <c r="N46" i="7"/>
  <c r="P46" i="7" s="1"/>
  <c r="P19" i="9" s="1"/>
  <c r="R19" i="9" s="1"/>
  <c r="H38" i="9"/>
  <c r="M48" i="7"/>
  <c r="O48" i="7" s="1"/>
  <c r="O35" i="9" s="1"/>
  <c r="Q35" i="9" s="1"/>
  <c r="I71" i="9"/>
  <c r="T71" i="9"/>
  <c r="M61" i="7"/>
  <c r="O61" i="7" s="1"/>
  <c r="O15" i="9" s="1"/>
  <c r="Q15" i="9" s="1"/>
  <c r="P42" i="9"/>
  <c r="R42" i="9" s="1"/>
  <c r="I23" i="9"/>
  <c r="T23" i="9"/>
  <c r="S34" i="9"/>
  <c r="G61" i="9"/>
  <c r="M22" i="7"/>
  <c r="O22" i="7" s="1"/>
  <c r="O28" i="9" s="1"/>
  <c r="Q28" i="9" s="1"/>
  <c r="N69" i="7"/>
  <c r="P69" i="7" s="1"/>
  <c r="P24" i="9" s="1"/>
  <c r="R24" i="9" s="1"/>
  <c r="N47" i="5"/>
  <c r="P47" i="5" s="1"/>
  <c r="L34" i="9" s="1"/>
  <c r="P32" i="3"/>
  <c r="P19" i="3"/>
  <c r="N46" i="5"/>
  <c r="P46" i="5" s="1"/>
  <c r="L19" i="9" s="1"/>
  <c r="N19" i="9" s="1"/>
  <c r="P60" i="3"/>
  <c r="P55" i="9"/>
  <c r="R55" i="9" s="1"/>
  <c r="P37" i="9"/>
  <c r="R37" i="9" s="1"/>
  <c r="M48" i="5"/>
  <c r="O48" i="5" s="1"/>
  <c r="K35" i="9" s="1"/>
  <c r="M35" i="9" s="1"/>
  <c r="M47" i="7"/>
  <c r="O47" i="7" s="1"/>
  <c r="O34" i="9" s="1"/>
  <c r="T42" i="9"/>
  <c r="N12" i="7"/>
  <c r="P12" i="7" s="1"/>
  <c r="P64" i="9" s="1"/>
  <c r="R64" i="9" s="1"/>
  <c r="D43" i="2"/>
  <c r="M46" i="5"/>
  <c r="O46" i="5" s="1"/>
  <c r="K19" i="9" s="1"/>
  <c r="M19" i="9" s="1"/>
  <c r="M22" i="5"/>
  <c r="O22" i="5" s="1"/>
  <c r="K28" i="9" s="1"/>
  <c r="M28" i="9" s="1"/>
  <c r="J30" i="9"/>
  <c r="H54" i="9"/>
  <c r="P14" i="3"/>
  <c r="H36" i="9"/>
  <c r="I36" i="9" s="1"/>
  <c r="P53" i="3"/>
  <c r="S55" i="9"/>
  <c r="T55" i="9" s="1"/>
  <c r="H11" i="9"/>
  <c r="I11" i="9" s="1"/>
  <c r="P54" i="8"/>
  <c r="E45" i="2" s="1"/>
  <c r="E15" i="2"/>
  <c r="E67" i="2"/>
  <c r="N18" i="7"/>
  <c r="P18" i="7" s="1"/>
  <c r="P41" i="9" s="1"/>
  <c r="R41" i="9" s="1"/>
  <c r="M47" i="5"/>
  <c r="O47" i="5" s="1"/>
  <c r="K34" i="9" s="1"/>
  <c r="N47" i="7"/>
  <c r="P47" i="7" s="1"/>
  <c r="P34" i="9" s="1"/>
  <c r="N22" i="7"/>
  <c r="P22" i="7" s="1"/>
  <c r="P28" i="9" s="1"/>
  <c r="R28" i="9" s="1"/>
  <c r="M10" i="7"/>
  <c r="O10" i="7" s="1"/>
  <c r="O58" i="9" s="1"/>
  <c r="Q58" i="9" s="1"/>
  <c r="M62" i="7"/>
  <c r="O62" i="7" s="1"/>
  <c r="O26" i="9" s="1"/>
  <c r="Q26" i="9" s="1"/>
  <c r="O54" i="6"/>
  <c r="D44" i="2" s="1"/>
  <c r="M56" i="5"/>
  <c r="O56" i="5" s="1"/>
  <c r="K38" i="9" s="1"/>
  <c r="P51" i="3"/>
  <c r="M30" i="5"/>
  <c r="O30" i="5" s="1"/>
  <c r="K45" i="9" s="1"/>
  <c r="M45" i="9" s="1"/>
  <c r="M18" i="7"/>
  <c r="O18" i="7" s="1"/>
  <c r="O41" i="9" s="1"/>
  <c r="Q41" i="9" s="1"/>
  <c r="E73" i="2"/>
  <c r="E74" i="2" s="1"/>
  <c r="J36" i="9"/>
  <c r="M23" i="7"/>
  <c r="O23" i="7" s="1"/>
  <c r="O43" i="9" s="1"/>
  <c r="P12" i="9"/>
  <c r="P56" i="3"/>
  <c r="M12" i="5"/>
  <c r="O12" i="5" s="1"/>
  <c r="K64" i="9" s="1"/>
  <c r="M64" i="9" s="1"/>
  <c r="O30" i="9"/>
  <c r="M33" i="5"/>
  <c r="O33" i="5" s="1"/>
  <c r="K47" i="9" s="1"/>
  <c r="P24" i="3"/>
  <c r="P18" i="3"/>
  <c r="G56" i="9"/>
  <c r="S59" i="9"/>
  <c r="T59" i="9" s="1"/>
  <c r="U70" i="7"/>
  <c r="E35" i="2" s="1"/>
  <c r="E36" i="2" s="1"/>
  <c r="G52" i="9"/>
  <c r="N36" i="7"/>
  <c r="P36" i="7" s="1"/>
  <c r="P49" i="9" s="1"/>
  <c r="R49" i="9" s="1"/>
  <c r="N39" i="5"/>
  <c r="P39" i="5" s="1"/>
  <c r="L68" i="9" s="1"/>
  <c r="N68" i="9" s="1"/>
  <c r="N12" i="5"/>
  <c r="P12" i="5" s="1"/>
  <c r="L64" i="9" s="1"/>
  <c r="N64" i="9" s="1"/>
  <c r="M38" i="5"/>
  <c r="O38" i="5" s="1"/>
  <c r="K11" i="9" s="1"/>
  <c r="M11" i="9" s="1"/>
  <c r="N50" i="5"/>
  <c r="P50" i="5" s="1"/>
  <c r="L71" i="9" s="1"/>
  <c r="N71" i="9" s="1"/>
  <c r="M66" i="5"/>
  <c r="O66" i="5" s="1"/>
  <c r="K67" i="9" s="1"/>
  <c r="M67" i="9" s="1"/>
  <c r="P9" i="3"/>
  <c r="K59" i="9"/>
  <c r="M59" i="9" s="1"/>
  <c r="J29" i="9"/>
  <c r="N26" i="5"/>
  <c r="P26" i="5" s="1"/>
  <c r="L5" i="9" s="1"/>
  <c r="H25" i="9"/>
  <c r="I25" i="9" s="1"/>
  <c r="N11" i="7"/>
  <c r="P11" i="7" s="1"/>
  <c r="P61" i="9" s="1"/>
  <c r="H53" i="9"/>
  <c r="I53" i="9" s="1"/>
  <c r="P13" i="3"/>
  <c r="H13" i="9"/>
  <c r="S70" i="9"/>
  <c r="N58" i="7"/>
  <c r="P58" i="7" s="1"/>
  <c r="P56" i="9" s="1"/>
  <c r="N17" i="5"/>
  <c r="P17" i="5" s="1"/>
  <c r="L57" i="9" s="1"/>
  <c r="N57" i="9" s="1"/>
  <c r="P40" i="3"/>
  <c r="S30" i="9"/>
  <c r="N38" i="5"/>
  <c r="P38" i="5" s="1"/>
  <c r="L11" i="9" s="1"/>
  <c r="N11" i="9" s="1"/>
  <c r="M54" i="5"/>
  <c r="O54" i="5" s="1"/>
  <c r="K21" i="9" s="1"/>
  <c r="M21" i="9" s="1"/>
  <c r="H70" i="9"/>
  <c r="L12" i="9"/>
  <c r="J32" i="9"/>
  <c r="P54" i="3"/>
  <c r="K42" i="9"/>
  <c r="M42" i="9" s="1"/>
  <c r="M10" i="5"/>
  <c r="O10" i="5" s="1"/>
  <c r="K58" i="9" s="1"/>
  <c r="M58" i="9" s="1"/>
  <c r="H43" i="9"/>
  <c r="P23" i="3"/>
  <c r="C67" i="2"/>
  <c r="C15" i="2"/>
  <c r="P48" i="3"/>
  <c r="G70" i="9"/>
  <c r="O54" i="8"/>
  <c r="E44" i="2" s="1"/>
  <c r="N61" i="7"/>
  <c r="P61" i="7" s="1"/>
  <c r="P15" i="9" s="1"/>
  <c r="R15" i="9" s="1"/>
  <c r="N42" i="7"/>
  <c r="P42" i="7" s="1"/>
  <c r="P52" i="9" s="1"/>
  <c r="D67" i="2"/>
  <c r="D15" i="2"/>
  <c r="M36" i="7"/>
  <c r="O36" i="7" s="1"/>
  <c r="O49" i="9" s="1"/>
  <c r="Q49" i="9" s="1"/>
  <c r="S62" i="9"/>
  <c r="H50" i="9"/>
  <c r="I50" i="9" s="1"/>
  <c r="P37" i="3"/>
  <c r="G30" i="9"/>
  <c r="H6" i="9"/>
  <c r="P26" i="4"/>
  <c r="N33" i="5"/>
  <c r="P33" i="5" s="1"/>
  <c r="L47" i="9" s="1"/>
  <c r="L42" i="9"/>
  <c r="N42" i="9" s="1"/>
  <c r="N10" i="5"/>
  <c r="P10" i="5" s="1"/>
  <c r="L58" i="9" s="1"/>
  <c r="N58" i="9" s="1"/>
  <c r="H60" i="9"/>
  <c r="P8" i="3"/>
  <c r="O55" i="9"/>
  <c r="Q55" i="9" s="1"/>
  <c r="J46" i="9"/>
  <c r="M60" i="7"/>
  <c r="O60" i="7" s="1"/>
  <c r="O40" i="9" s="1"/>
  <c r="Q40" i="9" s="1"/>
  <c r="N68" i="5"/>
  <c r="P68" i="5" s="1"/>
  <c r="L73" i="9" s="1"/>
  <c r="N73" i="9" s="1"/>
  <c r="M31" i="7"/>
  <c r="O31" i="7" s="1"/>
  <c r="O46" i="9" s="1"/>
  <c r="S54" i="9"/>
  <c r="E43" i="2"/>
  <c r="N31" i="5"/>
  <c r="P31" i="5" s="1"/>
  <c r="L46" i="9" s="1"/>
  <c r="H56" i="9"/>
  <c r="H66" i="9"/>
  <c r="I66" i="9" s="1"/>
  <c r="P28" i="3"/>
  <c r="O54" i="4"/>
  <c r="P6" i="3"/>
  <c r="C13" i="2"/>
  <c r="T62" i="3"/>
  <c r="N48" i="7"/>
  <c r="P48" i="7" s="1"/>
  <c r="P35" i="9" s="1"/>
  <c r="R35" i="9" s="1"/>
  <c r="P52" i="3"/>
  <c r="P20" i="3"/>
  <c r="P57" i="3"/>
  <c r="Q73" i="9"/>
  <c r="I73" i="9"/>
  <c r="T73" i="9"/>
  <c r="R73" i="9"/>
  <c r="N60" i="7"/>
  <c r="P60" i="7" s="1"/>
  <c r="P40" i="9" s="1"/>
  <c r="R40" i="9" s="1"/>
  <c r="T49" i="9"/>
  <c r="M57" i="5"/>
  <c r="O57" i="5" s="1"/>
  <c r="K72" i="9" s="1"/>
  <c r="M72" i="9" s="1"/>
  <c r="N36" i="5"/>
  <c r="P36" i="5" s="1"/>
  <c r="L49" i="9" s="1"/>
  <c r="N49" i="9" s="1"/>
  <c r="T18" i="9"/>
  <c r="M14" i="7"/>
  <c r="O14" i="7" s="1"/>
  <c r="O54" i="9" s="1"/>
  <c r="Q66" i="9"/>
  <c r="T66" i="9"/>
  <c r="R66" i="9"/>
  <c r="N23" i="7"/>
  <c r="P23" i="7" s="1"/>
  <c r="P43" i="9" s="1"/>
  <c r="M42" i="5"/>
  <c r="O42" i="5" s="1"/>
  <c r="K52" i="9" s="1"/>
  <c r="N27" i="5"/>
  <c r="P27" i="5" s="1"/>
  <c r="L44" i="9" s="1"/>
  <c r="P49" i="3"/>
  <c r="J40" i="9"/>
  <c r="J60" i="9"/>
  <c r="S62" i="3"/>
  <c r="M50" i="7"/>
  <c r="O50" i="7" s="1"/>
  <c r="O71" i="9" s="1"/>
  <c r="Q71" i="9" s="1"/>
  <c r="J20" i="9"/>
  <c r="H46" i="9"/>
  <c r="P27" i="3"/>
  <c r="G43" i="9"/>
  <c r="N10" i="7"/>
  <c r="P10" i="7" s="1"/>
  <c r="P58" i="9" s="1"/>
  <c r="R58" i="9" s="1"/>
  <c r="N53" i="5"/>
  <c r="P53" i="5" s="1"/>
  <c r="L37" i="9" s="1"/>
  <c r="N37" i="9" s="1"/>
  <c r="P44" i="9"/>
  <c r="M34" i="5"/>
  <c r="O34" i="5" s="1"/>
  <c r="K48" i="9" s="1"/>
  <c r="N14" i="7"/>
  <c r="P14" i="7" s="1"/>
  <c r="P54" i="9" s="1"/>
  <c r="J49" i="9"/>
  <c r="N22" i="5"/>
  <c r="P22" i="5" s="1"/>
  <c r="L28" i="9" s="1"/>
  <c r="N28" i="9" s="1"/>
  <c r="P47" i="3"/>
  <c r="S54" i="4"/>
  <c r="H49" i="9"/>
  <c r="I49" i="9" s="1"/>
  <c r="P10" i="3"/>
  <c r="M37" i="7"/>
  <c r="O37" i="7" s="1"/>
  <c r="O50" i="9" s="1"/>
  <c r="Q50" i="9" s="1"/>
  <c r="P44" i="3"/>
  <c r="C68" i="2" l="1"/>
  <c r="C70" i="2" s="1"/>
  <c r="U57" i="9"/>
  <c r="Q47" i="9"/>
  <c r="N62" i="3"/>
  <c r="C18" i="2" s="1"/>
  <c r="U39" i="9"/>
  <c r="I13" i="9"/>
  <c r="M13" i="9"/>
  <c r="N13" i="9"/>
  <c r="R13" i="9"/>
  <c r="Q13" i="9"/>
  <c r="U36" i="9"/>
  <c r="N27" i="9"/>
  <c r="U16" i="9"/>
  <c r="I27" i="9"/>
  <c r="Q27" i="9"/>
  <c r="N62" i="9"/>
  <c r="I29" i="9"/>
  <c r="N46" i="9"/>
  <c r="Q31" i="9"/>
  <c r="U58" i="9"/>
  <c r="M27" i="9"/>
  <c r="I46" i="9"/>
  <c r="R27" i="9"/>
  <c r="U68" i="9"/>
  <c r="U65" i="9"/>
  <c r="U7" i="9"/>
  <c r="I34" i="9"/>
  <c r="U26" i="9"/>
  <c r="Q29" i="9"/>
  <c r="N12" i="9"/>
  <c r="I12" i="9"/>
  <c r="R12" i="9"/>
  <c r="U72" i="9"/>
  <c r="N29" i="9"/>
  <c r="Q12" i="9"/>
  <c r="T62" i="9"/>
  <c r="N60" i="9"/>
  <c r="R38" i="9"/>
  <c r="M12" i="9"/>
  <c r="U53" i="9"/>
  <c r="U45" i="9"/>
  <c r="I31" i="9"/>
  <c r="N31" i="9"/>
  <c r="U8" i="9"/>
  <c r="R46" i="9"/>
  <c r="M62" i="9"/>
  <c r="R34" i="9"/>
  <c r="M46" i="9"/>
  <c r="M38" i="9"/>
  <c r="Q34" i="9"/>
  <c r="M34" i="9"/>
  <c r="M29" i="9"/>
  <c r="Q38" i="9"/>
  <c r="I38" i="9"/>
  <c r="R31" i="9"/>
  <c r="Q46" i="9"/>
  <c r="Q6" i="9"/>
  <c r="N54" i="6"/>
  <c r="D47" i="2" s="1"/>
  <c r="D52" i="2" s="1"/>
  <c r="T60" i="9"/>
  <c r="T34" i="9"/>
  <c r="R47" i="9"/>
  <c r="N47" i="9"/>
  <c r="U59" i="9"/>
  <c r="R6" i="9"/>
  <c r="M6" i="9"/>
  <c r="T6" i="9"/>
  <c r="I6" i="9"/>
  <c r="N34" i="9"/>
  <c r="R29" i="9"/>
  <c r="N6" i="9"/>
  <c r="I47" i="9"/>
  <c r="U64" i="9"/>
  <c r="R54" i="9"/>
  <c r="N54" i="9"/>
  <c r="U40" i="9"/>
  <c r="R62" i="9"/>
  <c r="I54" i="9"/>
  <c r="I62" i="9"/>
  <c r="Q62" i="9"/>
  <c r="T31" i="9"/>
  <c r="M47" i="9"/>
  <c r="U42" i="9"/>
  <c r="N38" i="9"/>
  <c r="Q54" i="9"/>
  <c r="T47" i="9"/>
  <c r="M54" i="8"/>
  <c r="E46" i="2" s="1"/>
  <c r="M31" i="9"/>
  <c r="M54" i="9"/>
  <c r="T10" i="9"/>
  <c r="T54" i="9"/>
  <c r="R60" i="9"/>
  <c r="M60" i="9"/>
  <c r="U71" i="9"/>
  <c r="I60" i="9"/>
  <c r="U23" i="9"/>
  <c r="R10" i="9"/>
  <c r="Q60" i="9"/>
  <c r="M10" i="9"/>
  <c r="U35" i="9"/>
  <c r="U22" i="9"/>
  <c r="U37" i="9"/>
  <c r="U9" i="9"/>
  <c r="N54" i="8"/>
  <c r="E47" i="2" s="1"/>
  <c r="E52" i="2" s="1"/>
  <c r="U41" i="9"/>
  <c r="U17" i="9"/>
  <c r="P54" i="4"/>
  <c r="U25" i="9"/>
  <c r="I10" i="9"/>
  <c r="U15" i="9"/>
  <c r="S74" i="9"/>
  <c r="M54" i="6"/>
  <c r="D46" i="2" s="1"/>
  <c r="U19" i="9"/>
  <c r="U50" i="9"/>
  <c r="U21" i="9"/>
  <c r="Q10" i="9"/>
  <c r="O74" i="9"/>
  <c r="N10" i="9"/>
  <c r="J74" i="9"/>
  <c r="U49" i="9"/>
  <c r="Q11" i="9"/>
  <c r="U11" i="9" s="1"/>
  <c r="M43" i="9"/>
  <c r="T43" i="9"/>
  <c r="N43" i="9"/>
  <c r="I43" i="9"/>
  <c r="R43" i="9"/>
  <c r="Q43" i="9"/>
  <c r="L74" i="9"/>
  <c r="U24" i="9"/>
  <c r="U28" i="9"/>
  <c r="U69" i="9"/>
  <c r="O70" i="5"/>
  <c r="U18" i="9"/>
  <c r="P70" i="5"/>
  <c r="C45" i="2"/>
  <c r="C47" i="2" s="1"/>
  <c r="C52" i="2" s="1"/>
  <c r="C44" i="2"/>
  <c r="C46" i="2" s="1"/>
  <c r="U14" i="9"/>
  <c r="I44" i="9"/>
  <c r="N44" i="9"/>
  <c r="M44" i="9"/>
  <c r="T44" i="9"/>
  <c r="Q44" i="9"/>
  <c r="R44" i="9"/>
  <c r="N30" i="9"/>
  <c r="R30" i="9"/>
  <c r="Q30" i="9"/>
  <c r="M30" i="9"/>
  <c r="T30" i="9"/>
  <c r="I30" i="9"/>
  <c r="U32" i="9"/>
  <c r="P70" i="7"/>
  <c r="U51" i="9"/>
  <c r="O70" i="7"/>
  <c r="H74" i="9"/>
  <c r="U55" i="9"/>
  <c r="U66" i="9"/>
  <c r="Q62" i="3"/>
  <c r="U20" i="9"/>
  <c r="U63" i="9"/>
  <c r="N52" i="9"/>
  <c r="M52" i="9"/>
  <c r="I52" i="9"/>
  <c r="T52" i="9"/>
  <c r="R52" i="9"/>
  <c r="Q52" i="9"/>
  <c r="T56" i="9"/>
  <c r="I56" i="9"/>
  <c r="Q56" i="9"/>
  <c r="R56" i="9"/>
  <c r="N56" i="9"/>
  <c r="M56" i="9"/>
  <c r="T61" i="9"/>
  <c r="R61" i="9"/>
  <c r="Q61" i="9"/>
  <c r="N61" i="9"/>
  <c r="M61" i="9"/>
  <c r="I61" i="9"/>
  <c r="P74" i="9"/>
  <c r="T48" i="9"/>
  <c r="R48" i="9"/>
  <c r="Q48" i="9"/>
  <c r="I48" i="9"/>
  <c r="N48" i="9"/>
  <c r="M48" i="9"/>
  <c r="P62" i="3"/>
  <c r="U73" i="9"/>
  <c r="K74" i="9"/>
  <c r="C69" i="2"/>
  <c r="C71" i="2" s="1"/>
  <c r="C17" i="2"/>
  <c r="C16" i="2"/>
  <c r="M5" i="9"/>
  <c r="I5" i="9"/>
  <c r="G74" i="9"/>
  <c r="T5" i="9"/>
  <c r="R5" i="9"/>
  <c r="Q5" i="9"/>
  <c r="N5" i="9"/>
  <c r="Q54" i="4"/>
  <c r="U67" i="9"/>
  <c r="N70" i="9"/>
  <c r="T70" i="9"/>
  <c r="I70" i="9"/>
  <c r="R70" i="9"/>
  <c r="Q70" i="9"/>
  <c r="M70" i="9"/>
  <c r="N54" i="4"/>
  <c r="C19" i="2" l="1"/>
  <c r="C24" i="2" s="1"/>
  <c r="U47" i="9"/>
  <c r="U13" i="9"/>
  <c r="U27" i="9"/>
  <c r="U46" i="9"/>
  <c r="U29" i="9"/>
  <c r="U12" i="9"/>
  <c r="U31" i="9"/>
  <c r="U34" i="9"/>
  <c r="U6" i="9"/>
  <c r="U38" i="9"/>
  <c r="U56" i="9"/>
  <c r="U10" i="9"/>
  <c r="U62" i="9"/>
  <c r="U60" i="9"/>
  <c r="U54" i="9"/>
  <c r="U70" i="9"/>
  <c r="U43" i="9"/>
  <c r="U52" i="9"/>
  <c r="U61" i="9"/>
  <c r="U48" i="9"/>
  <c r="U44" i="9"/>
  <c r="D69" i="2"/>
  <c r="D71" i="2" s="1"/>
  <c r="D17" i="2"/>
  <c r="N70" i="5"/>
  <c r="D19" i="2" s="1"/>
  <c r="D24" i="2" s="1"/>
  <c r="D16" i="2"/>
  <c r="D68" i="2"/>
  <c r="D70" i="2" s="1"/>
  <c r="M70" i="5"/>
  <c r="D18" i="2" s="1"/>
  <c r="U5" i="9"/>
  <c r="T74" i="9"/>
  <c r="R74" i="9"/>
  <c r="Q74" i="9"/>
  <c r="N74" i="9"/>
  <c r="M74" i="9"/>
  <c r="I74" i="9"/>
  <c r="E68" i="2"/>
  <c r="E70" i="2" s="1"/>
  <c r="E16" i="2"/>
  <c r="M70" i="7"/>
  <c r="E18" i="2" s="1"/>
  <c r="E69" i="2"/>
  <c r="E71" i="2" s="1"/>
  <c r="E17" i="2"/>
  <c r="N70" i="7"/>
  <c r="E19" i="2" s="1"/>
  <c r="E24" i="2" s="1"/>
  <c r="U30" i="9"/>
</calcChain>
</file>

<file path=xl/sharedStrings.xml><?xml version="1.0" encoding="utf-8"?>
<sst xmlns="http://schemas.openxmlformats.org/spreadsheetml/2006/main" count="3348" uniqueCount="642">
  <si>
    <t>Dic-2025</t>
  </si>
  <si>
    <t>Amalfi</t>
  </si>
  <si>
    <t>Balance de cartografía · Contrato 149-2024 (Consorcio Aero-Bat Antioquia) · cortes dic-2024, dic-2025 y jun-2026</t>
  </si>
  <si>
    <t>Fuente: informes de avance N°8, N°20 y N°26 de Valor+ (Contrato 24MA176H1682). Hectáreas equivalentes = área × % de productos entregados. Azul = dato transcrito del informe; negro = fórmula. Datos al 5-oct-2026: el más reciente tiene ~3 meses de antigüedad.</t>
  </si>
  <si>
    <t>Nota metodológica: se conserva el cálculo original de 2025 como rango matemático. No se retrotrae automáticamente el estado de vuelo incompleto de jun-26 a dic-25.</t>
  </si>
  <si>
    <t>SUPUESTOS (editables)</t>
  </si>
  <si>
    <t>Peso de cada producto en el % de avance (contrato: Ortofoto 45%, MDT 45%, GDB 10%; Tabla 26 informe dic-2025 p.64)</t>
  </si>
  <si>
    <t>Ortofoto</t>
  </si>
  <si>
    <t>Pesos contractuales</t>
  </si>
  <si>
    <t>MDT (modelo digital del terreno)</t>
  </si>
  <si>
    <t>Ídem</t>
  </si>
  <si>
    <t>Vectorial (GDB) · corte 2024</t>
  </si>
  <si>
    <t>Criterio del libro ejemplo: la interventoría no sumó GDB urbanas en dic-2024</t>
  </si>
  <si>
    <t>Vectorial (GDB) · cortes 2025 y 2026</t>
  </si>
  <si>
    <t>Los informes 2025-26 sí cuentan GDB (ver contraste #1)</t>
  </si>
  <si>
    <t>CARTOGRAFÍA RURAL</t>
  </si>
  <si>
    <t>Fuente / nota</t>
  </si>
  <si>
    <t>Dic-2024</t>
  </si>
  <si>
    <t>Jun-2026</t>
  </si>
  <si>
    <t>Municipios en el alcance vigente</t>
  </si>
  <si>
    <t>57 rurales originales + 8 de Fase II desde may-2025</t>
  </si>
  <si>
    <t>Municipios con entregas verificadas por municipio</t>
  </si>
  <si>
    <t>Con evidencia municipal de ≥1 producto entregado</t>
  </si>
  <si>
    <t>Municipios sin evidencia municipal de entregas</t>
  </si>
  <si>
    <t>El informe no dice por municipio si entregó (amarillo en hojas)</t>
  </si>
  <si>
    <t>Área base de cálculo (ha)</t>
  </si>
  <si>
    <t>Área contrato; en 2024 área de la interventoría donde la reporta</t>
  </si>
  <si>
    <t>HA EQUIVALENTES PONDERADAS · mínimo/inferencia</t>
  </si>
  <si>
    <t>Cálculo ponderado; 2025-26: rango por falta de desagregación municipal</t>
  </si>
  <si>
    <t>HA EQUIVALENTES PONDERADAS · máximo/inferencia</t>
  </si>
  <si>
    <t>Escenario matemático, no avance territorial acreditado</t>
  </si>
  <si>
    <t>% de avance en hectáreas · mínimo</t>
  </si>
  <si>
    <t>Ha eq. mínimo / área base</t>
  </si>
  <si>
    <t>% de avance en hectáreas · máximo</t>
  </si>
  <si>
    <t>Ha eq. máximo / área base</t>
  </si>
  <si>
    <t>% de avance que reporta el informe</t>
  </si>
  <si>
    <t>2024: ponderado por hectárea (importancia); 2025-26: conteo simple de productos</t>
  </si>
  <si>
    <t>Productos entregados (ortofoto+MDT+GDB) · reportado</t>
  </si>
  <si>
    <t>Tabla resumen del informe</t>
  </si>
  <si>
    <t>Productos contratados en el sector</t>
  </si>
  <si>
    <t>Rural 2024: 57×3; 2025-26: 65×3 = 195 (Tabla 30/29)</t>
  </si>
  <si>
    <t>% por conteo simple = entregados / contratados</t>
  </si>
  <si>
    <t>Reproduce el % del informe en 2025-26 → cambió la metodología</t>
  </si>
  <si>
    <t>Diferencia: % por conteo − % en hectáreas máximo</t>
  </si>
  <si>
    <t>Cuánto "infla" el conteo frente a las hectáreas</t>
  </si>
  <si>
    <t>Ortofotos entregadas (reportado)</t>
  </si>
  <si>
    <t>MDT entregados (reportado)</t>
  </si>
  <si>
    <t>GDB entregadas (reportado)</t>
  </si>
  <si>
    <t>Ortofotos aprobadas por interventoría</t>
  </si>
  <si>
    <t>Tabla resumen / texto del informe</t>
  </si>
  <si>
    <t>MDT aprobados por interventoría</t>
  </si>
  <si>
    <t>GDB aprobadas por interventoría</t>
  </si>
  <si>
    <t>Ortofotos con marca municipal evidenciada</t>
  </si>
  <si>
    <t>Suma de marcas en las hojas; si &lt; reportado, la diferencia no está desagregada</t>
  </si>
  <si>
    <t>MDT con marca municipal evidenciada</t>
  </si>
  <si>
    <t>GDB con marca municipal evidenciada</t>
  </si>
  <si>
    <t>Ha equivalentes CONFORMES (aprobadas por interventoría, solo 2024)</t>
  </si>
  <si>
    <t>Tabla 25 col. "% conforme"</t>
  </si>
  <si>
    <t>Ha equivalentes OFICIALES ante el IGAC</t>
  </si>
  <si>
    <t>Productos con estado "Oficial" (Tabla 40 p.80); dic-2025: solo 4 productos conformes, sin detalle municipal</t>
  </si>
  <si>
    <t>% oficial IGAC sobre el área base</t>
  </si>
  <si>
    <t>Hectáreas equivalentes oficiales / área base</t>
  </si>
  <si>
    <t>Productos rurales radicados/en poder del IGAC (reportado)</t>
  </si>
  <si>
    <t>Dic-25: Tabla 31 (35, pero filas suman 36); jun-26: Tabla 39 p.79 (78 = 49 devueltos + 11 en revisión + 18 oficiales)</t>
  </si>
  <si>
    <t>CARTOGRAFÍA URBANA</t>
  </si>
  <si>
    <t>49 municipios</t>
  </si>
  <si>
    <t>Dic-24: 8.781,19 ha según interventoría (Informe N°8, p.52). Dic-25/jun-26: 8.338,04 ha en la base municipal del libro, por falta de detalle equivalente por municipio.</t>
  </si>
  <si>
    <t>Cálculo ponderado; no equivale a superficie territorial cubierta</t>
  </si>
  <si>
    <t>Escenario matemático; no avance territorial acreditado</t>
  </si>
  <si>
    <t>Ha equivalentes CONFORMES (solo 2024)</t>
  </si>
  <si>
    <t>Tabla 28 col. "% conforme"</t>
  </si>
  <si>
    <t>Productos "Oficial" (Tabla 40 p.80)</t>
  </si>
  <si>
    <t>Productos urbanos en poder del IGAC (reportado)</t>
  </si>
  <si>
    <t>Dic-25: Tabla 33 p.74 (54); jun-26: Tabla 39 p.79 (137 = 47 + 37 + 53)</t>
  </si>
  <si>
    <t>TOTAL RURAL + URBANO (hectáreas)</t>
  </si>
  <si>
    <t>Área total base (ha)</t>
  </si>
  <si>
    <t>Rural + urbano; los municipios que están en ambos suman cada área</t>
  </si>
  <si>
    <t>Ha equivalentes entregadas · mínimo</t>
  </si>
  <si>
    <t>Ha equivalentes entregadas · máximo</t>
  </si>
  <si>
    <t>% hectáreas · mínimo</t>
  </si>
  <si>
    <t>% hectáreas · máximo</t>
  </si>
  <si>
    <t>Hectáreas rurales de los 10 municipios con vuelo incompleto (jun-2026)</t>
  </si>
  <si>
    <t>Suma de área contrato de Dabeiba, Frontino, Mutatá, Tarazá, Turbo, Valdivia, Cáceres, Ituango, Murindó, Vigía del Fuerte</t>
  </si>
  <si>
    <t>…como % del área rural base</t>
  </si>
  <si>
    <t>Ninguno de los 10 tiene ortofoto/MDT/GDB: techo del avance en hectáreas</t>
  </si>
  <si>
    <t>Techo del avance rural en hectáreas (100% − lo anterior)</t>
  </si>
  <si>
    <t>Compárese con el 81,5% que reporta el informe</t>
  </si>
  <si>
    <t>EJECUCIÓN FINANCIERA · contrato 149-2024 (Tabla 11)</t>
  </si>
  <si>
    <t>Valor del contrato (COP)</t>
  </si>
  <si>
    <t>Informes 2025/26: $44.432.931.516 + adición $10.357.789.628 = $54.790.721.144</t>
  </si>
  <si>
    <t>Pagado acumulado (COP)</t>
  </si>
  <si>
    <t>Pagos 1-4 (2024) / 1-14 (a dic-2025) / 1-19 (a jun-2026); Tabla 11 p.21 informes 20 y 26</t>
  </si>
  <si>
    <t>% pagado sobre valor del contrato</t>
  </si>
  <si>
    <t>Dic-2024 sobre valor sin adición</t>
  </si>
  <si>
    <t>Número de pagos acumulados</t>
  </si>
  <si>
    <t>Cartografía rural · corte 31-dic-2024</t>
  </si>
  <si>
    <t>Informe de avance N°8 (dic-2024), Valor+, Contrato 24MA176H1682. Área contrato: Tablas 2-3 págs. 8-9. Entregas, importancia y % conforme: Tabla 25 págs. 44-45 (rural) y Tabla 28 págs. 51-52 (urbano). Azul = dato transcrito; negro = fórmula.</t>
  </si>
  <si>
    <t>Cód. DANE</t>
  </si>
  <si>
    <t>Municipio</t>
  </si>
  <si>
    <t>Región</t>
  </si>
  <si>
    <t>Provincia</t>
  </si>
  <si>
    <t>Alcance</t>
  </si>
  <si>
    <t>Área contrato (ha)</t>
  </si>
  <si>
    <t>Área según interventoría (ha)</t>
  </si>
  <si>
    <t>Área base (ha)</t>
  </si>
  <si>
    <t>Ortofoto entregada (1/0)</t>
  </si>
  <si>
    <t>MDT entregado (1/0)</t>
  </si>
  <si>
    <t>Vectorial entregado (1/0)</t>
  </si>
  <si>
    <t>Importancia reportada (%)</t>
  </si>
  <si>
    <t>% conforme reportado</t>
  </si>
  <si>
    <t>% avance entregado</t>
  </si>
  <si>
    <t>Ha equivalentes entregadas</t>
  </si>
  <si>
    <t>Ha pendientes</t>
  </si>
  <si>
    <t>% conforme del municipio</t>
  </si>
  <si>
    <t>Ha equivalentes conformes</t>
  </si>
  <si>
    <t>Área bruta con entregas (ha)</t>
  </si>
  <si>
    <t>Estado</t>
  </si>
  <si>
    <t>Avance ponderado contractual (45/45/10)</t>
  </si>
  <si>
    <t>Ha equivalentes ponderadas</t>
  </si>
  <si>
    <t>Cobertura territorial ≥1 producto</t>
  </si>
  <si>
    <t>Avance por conteo simple</t>
  </si>
  <si>
    <t>Porcentaje reportado por informe</t>
  </si>
  <si>
    <t>Diferencia reporte-cálculo</t>
  </si>
  <si>
    <t>Observación</t>
  </si>
  <si>
    <t>05197</t>
  </si>
  <si>
    <t>Cocorná</t>
  </si>
  <si>
    <t>Oriente</t>
  </si>
  <si>
    <t>Provincia ABT</t>
  </si>
  <si>
    <t>Original</t>
  </si>
  <si>
    <t>El porcentaje reportado puede ser aporte al avance global; no necesariamente avance interno.</t>
  </si>
  <si>
    <t>05206</t>
  </si>
  <si>
    <t>Concepción</t>
  </si>
  <si>
    <t>05649</t>
  </si>
  <si>
    <t>San Carlos</t>
  </si>
  <si>
    <t>05652</t>
  </si>
  <si>
    <t>San Francisco</t>
  </si>
  <si>
    <t>05310</t>
  </si>
  <si>
    <t>Gómez Plata</t>
  </si>
  <si>
    <t>Norte</t>
  </si>
  <si>
    <t>Provincia Bio-Energética del Norte</t>
  </si>
  <si>
    <t>05055</t>
  </si>
  <si>
    <t>Argelia</t>
  </si>
  <si>
    <t>Provincia La Paz</t>
  </si>
  <si>
    <t>05483</t>
  </si>
  <si>
    <t>Nariño</t>
  </si>
  <si>
    <t>05756</t>
  </si>
  <si>
    <t>Sonsón</t>
  </si>
  <si>
    <t>05628</t>
  </si>
  <si>
    <t>Sabanalarga</t>
  </si>
  <si>
    <t>Occidente</t>
  </si>
  <si>
    <t>Provincia Occidente</t>
  </si>
  <si>
    <t>05656</t>
  </si>
  <si>
    <t>San Jerónimo</t>
  </si>
  <si>
    <t>05042</t>
  </si>
  <si>
    <t>Santa Fe de Antioquia</t>
  </si>
  <si>
    <t>05890</t>
  </si>
  <si>
    <t>Yolombó</t>
  </si>
  <si>
    <t>Nordeste</t>
  </si>
  <si>
    <t>Provincia Mineros</t>
  </si>
  <si>
    <t>05002</t>
  </si>
  <si>
    <t>Abejorral</t>
  </si>
  <si>
    <t>Sin provincia asignada</t>
  </si>
  <si>
    <t>05004</t>
  </si>
  <si>
    <t>Abriaquí</t>
  </si>
  <si>
    <t>05031</t>
  </si>
  <si>
    <t>05059</t>
  </si>
  <si>
    <t>Armenia</t>
  </si>
  <si>
    <t>05086</t>
  </si>
  <si>
    <t>Belmira</t>
  </si>
  <si>
    <t>05107</t>
  </si>
  <si>
    <t>Briceño</t>
  </si>
  <si>
    <t>05113</t>
  </si>
  <si>
    <t>Buriticá</t>
  </si>
  <si>
    <t>05134</t>
  </si>
  <si>
    <t>Campamento</t>
  </si>
  <si>
    <t>05142</t>
  </si>
  <si>
    <t>Caracolí</t>
  </si>
  <si>
    <t>Magdalena Medio</t>
  </si>
  <si>
    <t>05154</t>
  </si>
  <si>
    <t>Caucasia</t>
  </si>
  <si>
    <t>Bajo Cauca</t>
  </si>
  <si>
    <t>05138</t>
  </si>
  <si>
    <t>Cañasgordas</t>
  </si>
  <si>
    <t>05172</t>
  </si>
  <si>
    <t>Chigorodó</t>
  </si>
  <si>
    <t>Urabá</t>
  </si>
  <si>
    <t>05190</t>
  </si>
  <si>
    <t>Cisneros</t>
  </si>
  <si>
    <t>05234</t>
  </si>
  <si>
    <t>Dabeiba</t>
  </si>
  <si>
    <t>05240</t>
  </si>
  <si>
    <t>Ebéjico</t>
  </si>
  <si>
    <t>05264</t>
  </si>
  <si>
    <t>Entrerríos</t>
  </si>
  <si>
    <t>05284</t>
  </si>
  <si>
    <t>Frontino</t>
  </si>
  <si>
    <t>05306</t>
  </si>
  <si>
    <t>Giraldo</t>
  </si>
  <si>
    <t>05315</t>
  </si>
  <si>
    <t>Guadalupe</t>
  </si>
  <si>
    <t>05347</t>
  </si>
  <si>
    <t>Heliconia</t>
  </si>
  <si>
    <t>05411</t>
  </si>
  <si>
    <t>Liborina</t>
  </si>
  <si>
    <t>05425</t>
  </si>
  <si>
    <t>Maceo</t>
  </si>
  <si>
    <t>05480</t>
  </si>
  <si>
    <t>Mutatá</t>
  </si>
  <si>
    <t>05490</t>
  </si>
  <si>
    <t>Necoclí</t>
  </si>
  <si>
    <t>05501</t>
  </si>
  <si>
    <t>Olaya</t>
  </si>
  <si>
    <t>05543</t>
  </si>
  <si>
    <t>Peque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</si>
  <si>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</si>
  <si>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</si>
  <si>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</si>
  <si>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</si>
  <si>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</si>
  <si>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</si>
  <si>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</si>
  <si>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</si>
  <si>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05647</t>
  </si>
  <si>
    <t>San Andrés de Cuerquia</t>
  </si>
  <si>
    <t>05658</t>
  </si>
  <si>
    <t>San José de la Montaña</t>
  </si>
  <si>
    <t>05659</t>
  </si>
  <si>
    <t>San Juan de Urabá</t>
  </si>
  <si>
    <t>05665</t>
  </si>
  <si>
    <t>San Pedro de Urabá</t>
  </si>
  <si>
    <t>05664</t>
  </si>
  <si>
    <t>San Pedro de los Milagros</t>
  </si>
  <si>
    <t>05670</t>
  </si>
  <si>
    <t>San Roque</t>
  </si>
  <si>
    <t>05686</t>
  </si>
  <si>
    <t>Santa Rosa de Osos</t>
  </si>
  <si>
    <t>05690</t>
  </si>
  <si>
    <t>Santo Domingo</t>
  </si>
  <si>
    <t>05790</t>
  </si>
  <si>
    <t>Tarazá</t>
  </si>
  <si>
    <t>05819</t>
  </si>
  <si>
    <t>Toledo</t>
  </si>
  <si>
    <t>05837</t>
  </si>
  <si>
    <t>Turbo</t>
  </si>
  <si>
    <t>05842</t>
  </si>
  <si>
    <t>Uramita</t>
  </si>
  <si>
    <t>05854</t>
  </si>
  <si>
    <t>Valdivia</t>
  </si>
  <si>
    <t>05887</t>
  </si>
  <si>
    <t>Yarumal</t>
  </si>
  <si>
    <t>05893</t>
  </si>
  <si>
    <t>Yondó</t>
  </si>
  <si>
    <t>TOTAL</t>
  </si>
  <si>
    <t>Cartografía urbana · corte 31-dic-2024</t>
  </si>
  <si>
    <t>05467</t>
  </si>
  <si>
    <t>Montebello</t>
  </si>
  <si>
    <t>Suroeste</t>
  </si>
  <si>
    <t>Provincia Cartama</t>
  </si>
  <si>
    <t>05736</t>
  </si>
  <si>
    <t>Segovia</t>
  </si>
  <si>
    <t>Provincia Minero Agroecológica</t>
  </si>
  <si>
    <t>05885</t>
  </si>
  <si>
    <t>Yalí</t>
  </si>
  <si>
    <t>05038</t>
  </si>
  <si>
    <t>Angostura</t>
  </si>
  <si>
    <t>05120</t>
  </si>
  <si>
    <t>Cáceres</t>
  </si>
  <si>
    <t>05250</t>
  </si>
  <si>
    <t>El Bagre</t>
  </si>
  <si>
    <t>05895</t>
  </si>
  <si>
    <t>Zaragoza</t>
  </si>
  <si>
    <t>Cartografía rural · corte dic-2025</t>
  </si>
  <si>
    <t>Informe N°20 (corte dic-2025; fechado 9-ene-2026). Áreas: Tablas 2-3 y Tabla 25 (Fase II) p.64. Marcas: ver columna Evidencia. Amarillo = el informe NO desagrega el dato por municipio; mínimo/máximo reparten las entregas reportadas entre esas celdas (menor / mayor área).</t>
  </si>
  <si>
    <t>Ortofoto entregada (1/0; vacío = sin dato)</t>
  </si>
  <si>
    <t>MDT entregado (1/0; vacío = sin dato)</t>
  </si>
  <si>
    <t>Vectorial entregado (1/0; vacío = sin dato)</t>
  </si>
  <si>
    <t>Evidencia de las marcas</t>
  </si>
  <si>
    <t>% avance entregado MÍNIMO (compatible con conteos reportados)</t>
  </si>
  <si>
    <t>% avance entregado MÁXIMO (compatible con conteos reportados)</t>
  </si>
  <si>
    <t>Ha equiv. entregadas MÍNIMO</t>
  </si>
  <si>
    <t>Ha equiv. entregadas MÁXIMO</t>
  </si>
  <si>
    <t>IGAC · Ortofoto</t>
  </si>
  <si>
    <t>IGAC · MDT</t>
  </si>
  <si>
    <t>IGAC · Vectorial</t>
  </si>
  <si>
    <t>Observación IGAC / nota</t>
  </si>
  <si>
    <t>Ha equiv. OFICIALES (IGAC)</t>
  </si>
  <si>
    <t>AUX Ortofoto: rango ↑ área</t>
  </si>
  <si>
    <t>AUX Ortofoto: rango ↓ área</t>
  </si>
  <si>
    <t>AUX Ortofoto: marca mín</t>
  </si>
  <si>
    <t>AUX Ortofoto: marca máx</t>
  </si>
  <si>
    <t>AUX MDT: rango ↑ área</t>
  </si>
  <si>
    <t>AUX MDT: rango ↓ área</t>
  </si>
  <si>
    <t>AUX MDT: marca mín</t>
  </si>
  <si>
    <t>AUX MDT: marca máx</t>
  </si>
  <si>
    <t>AUX Vectorial: rango ↑ área</t>
  </si>
  <si>
    <t>AUX Vectorial: rango ↓ área</t>
  </si>
  <si>
    <t>AUX Vectorial: marca mín</t>
  </si>
  <si>
    <t>AUX Vectorial: marca máx</t>
  </si>
  <si>
    <t>ORT entregado desde dic-24; MDT entregado desde dic-24; GDB radicado IGAC (T31 p.72)</t>
  </si>
  <si>
    <t>Radicado IGAC</t>
  </si>
  <si>
    <t>Aprobado FC, MDT no conforme</t>
  </si>
  <si>
    <t>GDB atrasado (Fig.2 p.73)</t>
  </si>
  <si>
    <t>Radicado nuevamente al IGAC</t>
  </si>
  <si>
    <t>ORT atrasado (Fig.2 p.73); MDT atrasado (Fig.2 p.73)</t>
  </si>
  <si>
    <t>Sin desagregar por municipio en el informe</t>
  </si>
  <si>
    <t>MDT entregado desde dic-24</t>
  </si>
  <si>
    <t>ORT entregado desde dic-24; MDT radicado IGAC (T31 p.72); GDB radicado IGAC (T31 p.72)</t>
  </si>
  <si>
    <t>ORT radicado IGAC (T31 p.72); MDT entregado desde dic-24; GDB radicado IGAC (T31 p.72)</t>
  </si>
  <si>
    <t>Conforme</t>
  </si>
  <si>
    <t>MDT y Orto no conforme</t>
  </si>
  <si>
    <t>ORT radicado IGAC (T31 p.72); MDT entregado desde dic-24</t>
  </si>
  <si>
    <t>Aprobado FC, Orto conforme</t>
  </si>
  <si>
    <t>ORT entregado desde dic-24; MDT entregado desde dic-24</t>
  </si>
  <si>
    <t>Aprobado CT</t>
  </si>
  <si>
    <t>ORT entregado desde dic-24</t>
  </si>
  <si>
    <t>Fase II</t>
  </si>
  <si>
    <t>05040</t>
  </si>
  <si>
    <t>Anorí</t>
  </si>
  <si>
    <t>No indicada en informes</t>
  </si>
  <si>
    <t>05361</t>
  </si>
  <si>
    <t>Ituango</t>
  </si>
  <si>
    <t>05475</t>
  </si>
  <si>
    <t>Murindó</t>
  </si>
  <si>
    <t>05858</t>
  </si>
  <si>
    <t>Vegachí</t>
  </si>
  <si>
    <t>05873</t>
  </si>
  <si>
    <t>Vigía del Fuerte</t>
  </si>
  <si>
    <t>Productos entregados según el informe (sector rural)</t>
  </si>
  <si>
    <t>Tabla 30 p.71 (dic-25: 49/47/27) · Tabla 29 p.71 (jun-26: 54/54/51)</t>
  </si>
  <si>
    <t>k = entregas reportadas sin marca municipal (se reparten entre celdas vacías)</t>
  </si>
  <si>
    <t>Mínimo = k celdas vacías de menor área; máximo = k de mayor área. Columnas W:AH son auxiliares del cálculo.</t>
  </si>
  <si>
    <t>Cartografía urbana · corte dic-2025</t>
  </si>
  <si>
    <t>Tabla 32 p.74 + Fig.3 p.76: todos entregados salvo Vectorial de Montebello</t>
  </si>
  <si>
    <t>Por remitir (en ajuste)</t>
  </si>
  <si>
    <t>Vectorial atrasado (Fig.3 p.76): único producto urbano sin entregar</t>
  </si>
  <si>
    <t>Conflicto T33/T34</t>
  </si>
  <si>
    <t>Tabla 33: 3 marcas pero total de fila = 2; Ortofoto figura radicada (T33) y por remitir (T34)</t>
  </si>
  <si>
    <t>Tabla 33: 2 marcas pero total de fila = 3</t>
  </si>
  <si>
    <t>Cartografía rural · corte jun-2026</t>
  </si>
  <si>
    <t>Informe N°26 (corte jun-2026; fechado 9-jul-2026). Áreas: Tablas 2-3 y Tabla 26 (Fase II) p.68. Marcas: ver columna Evidencia (Tabla 34 p.75, Tabla 38 p.78, Tabla 40 p.80). Amarillo = el informe NO desagrega el dato por municipio.</t>
  </si>
  <si>
    <t>ORT en IGAC: Devuelto IGAC (T40 p.80); MDT en IGAC: Devuelto IGAC (T40 p.80); GDB en IGAC: Devuelto IGAC (T40 p.80)</t>
  </si>
  <si>
    <t>Devuelto IGAC</t>
  </si>
  <si>
    <t>GDB en IGAC: En revisión IGAC (T40 p.80)</t>
  </si>
  <si>
    <t>En revisión IGAC</t>
  </si>
  <si>
    <t>ORT en IGAC: Oficial (T40 p.80); MDT en IGAC: Devuelto IGAC (T40 p.80); GDB en IGAC: En revisión IGAC (T40 p.80)</t>
  </si>
  <si>
    <t>Oficial</t>
  </si>
  <si>
    <t>ORT en IGAC: Oficial (T40 p.80); MDT en IGAC: Devuelto IGAC (T40 p.80)</t>
  </si>
  <si>
    <t>FTC pendiente ante IGAC (T38 p.78)</t>
  </si>
  <si>
    <t>ORT en IGAC: Devuelto IGAC (T40 p.80); MDT en IGAC: Devuelto IGAC (T40 p.80); GDB en IGAC: En revisión IGAC (T40 p.80)</t>
  </si>
  <si>
    <t>ORT en IGAC: Oficial (T40 p.80); MDT en IGAC: Oficial (T40 p.80); GDB en IGAC: Devuelto IGAC (T40 p.80)</t>
  </si>
  <si>
    <t>ORT en IGAC: En revisión IGAC (T40 p.80); MDT en IGAC: En revisión IGAC (T40 p.80); GDB en IGAC: En revisión IGAC (T40 p.80)</t>
  </si>
  <si>
    <t>ORT en IGAC: Oficial (T40 p.80); MDT en IGAC: Devuelto IGAC (T40 p.80); GDB en IGAC: Devuelto IGAC (T40 p.80)</t>
  </si>
  <si>
    <t>ORT en IGAC: Devuelto IGAC (T40 p.80); MDT en IGAC: Devuelto IGAC (T40 p.80)</t>
  </si>
  <si>
    <t>ORT sin entregar: vuelo incompleto (T34 p.75); MDT sin entregar: vuelo incompleto (T34 p.75); GDB sin entregar: vuelo incompleto (T34 p.75)</t>
  </si>
  <si>
    <t>Vuelo incompleto: 57% reportado (T34); FTC pendiente ante IGAC</t>
  </si>
  <si>
    <t>Vuelo incompleto: 55% reportado (T34); FTC pendiente ante IGAC</t>
  </si>
  <si>
    <t>Vuelo incompleto: 96% reportado (T34); FTC pendiente ante IGAC</t>
  </si>
  <si>
    <t>ORT en IGAC: Oficial (T40 p.80); MDT en IGAC: Oficial (T40 p.80); GDB en IGAC: Oficial (T40 p.80)</t>
  </si>
  <si>
    <t>ORT en IGAC: Oficial (T40 p.80); MDT en IGAC: Oficial (T40 p.80); GDB en IGAC: En revisión IGAC (T40 p.80)</t>
  </si>
  <si>
    <t>GDB en IGAC: Devuelto IGAC (T40 p.80)</t>
  </si>
  <si>
    <t>Vuelo incompleto: 26% reportado (T34); FTC pendiente ante IGAC</t>
  </si>
  <si>
    <t>Vuelo incompleto: 88% reportado (T34); FTC pendiente ante IGAC</t>
  </si>
  <si>
    <t>Vuelo incompleto: 56% reportado (T34); FTC pendiente ante IGAC</t>
  </si>
  <si>
    <t>ORT en IGAC: Devuelto IGAC (T40 p.80)</t>
  </si>
  <si>
    <t>Vuelo incompleto: 43% reportado (T34); FTC pendiente ante IGAC</t>
  </si>
  <si>
    <t>Vuelo incompleto: 53% reportado (T34); FTC pendiente ante IGAC</t>
  </si>
  <si>
    <t>Vuelo incompleto: 39% reportado (T34); FTC pendiente ante IGAC</t>
  </si>
  <si>
    <t>Vuelo incompleto: 5% reportado (T34); FTC pendiente ante IGAC</t>
  </si>
  <si>
    <t>Cartografía urbana · corte jun-2026</t>
  </si>
  <si>
    <t>Tabla 30 p.72: 49/49/49 entregados</t>
  </si>
  <si>
    <t>Avance cartográfico consolidado por municipio (rural + urbano) · hectáreas equivalentes · tres cortes</t>
  </si>
  <si>
    <t>Todo son fórmulas sobre las hojas Rural_* y Urbano_*. 2024 es exacto; 2025 y 2026 se dan como rango (mínimo verificable – máximo posible) porque el informe no desagrega las entregas rurales por municipio. Oficial IGAC = producto declarado conforme por el IGAC (jun-2026).</t>
  </si>
  <si>
    <t>Área rural base (ha)</t>
  </si>
  <si>
    <t>Área urbana base (ha)</t>
  </si>
  <si>
    <t>Área total (ha)</t>
  </si>
  <si>
    <t>Ha equiv. entregadas dic-24</t>
  </si>
  <si>
    <t>% dic-24</t>
  </si>
  <si>
    <t>Ha equiv. conformes dic-24</t>
  </si>
  <si>
    <t>Ha equiv. dic-25 MÍN</t>
  </si>
  <si>
    <t>Ha equiv. dic-25 MÁX</t>
  </si>
  <si>
    <t>% dic-25 MÍN</t>
  </si>
  <si>
    <t>% dic-25 MÁX</t>
  </si>
  <si>
    <t>Ha equiv. jun-26 MÍN</t>
  </si>
  <si>
    <t>Ha equiv. jun-26 MÁX</t>
  </si>
  <si>
    <t>% jun-26 MÍN</t>
  </si>
  <si>
    <t>% jun-26 MÁX</t>
  </si>
  <si>
    <t>Ha equiv. OFICIALES IGAC jun-26</t>
  </si>
  <si>
    <t>% oficial jun-26</t>
  </si>
  <si>
    <t>Avance mín. jun-26 vs dic-24 (p.p.)</t>
  </si>
  <si>
    <t>Centros poblados e imágenes 360° · cifras reportadas por sector (no hay detalle municipal comparable)</t>
  </si>
  <si>
    <t>Indicador</t>
  </si>
  <si>
    <t>Fuente</t>
  </si>
  <si>
    <t>Centros poblados · productos contratados</t>
  </si>
  <si>
    <t>Tabla 35 p.77 (2025); Tabla 31 p.73 (2026)</t>
  </si>
  <si>
    <t>Centros poblados · productos entregados (texto del informe)</t>
  </si>
  <si>
    <t>Texto 6.2.2.7 p.76-77; 6.2.2.3 p.73</t>
  </si>
  <si>
    <t>Centros poblados · productos entregados (según tabla resumen)</t>
  </si>
  <si>
    <t>Tabla 35 p.77: 85 ≠ 72 del texto</t>
  </si>
  <si>
    <t>Centros poblados · aprobados</t>
  </si>
  <si>
    <t>Tabla 35 / Tabla 31</t>
  </si>
  <si>
    <t>Centros poblados · % avance entregado reportado</t>
  </si>
  <si>
    <t>72/201 = 35,8%; 114/201 = 56,7%</t>
  </si>
  <si>
    <t>Centros poblados · área entregada (ha)</t>
  </si>
  <si>
    <t>Texto</t>
  </si>
  <si>
    <t>Imágenes 360° · municipios contratados</t>
  </si>
  <si>
    <t>Tabla 36 p.78 / 6.2.2.4</t>
  </si>
  <si>
    <t>Imágenes 360° · entregas realizadas</t>
  </si>
  <si>
    <t>Imágenes 360° · aprobadas</t>
  </si>
  <si>
    <t>Imágenes 360° · municipios pendientes de captura</t>
  </si>
  <si>
    <t>2025: Anorí, Briceño, Cáceres, Murindó, Tarazá, Valdivia, Vigía del Fuerte (T37 p.78). 2026: solo Anorí (orden público; fecha ajustada 09/09/2026)</t>
  </si>
  <si>
    <t>Área 360° entregada (ha) / contratada (ha)</t>
  </si>
  <si>
    <t>19.566 / 20.315</t>
  </si>
  <si>
    <t>24.069 / 20.314,74</t>
  </si>
  <si>
    <t>2026: entregada &gt; contratada (118%) → inconsistencia</t>
  </si>
  <si>
    <t>Centros poblados con retraso a dic-2025 (Figura 4 p.77)</t>
  </si>
  <si>
    <t>Apartadó San José de Apartadó · Ortofoto (−55 d) y GDB (−22 d)</t>
  </si>
  <si>
    <t>Arboletes: La Candelaria, La Trinidad, Las Naranjitas, El Carmelo, El Guadual, Las Platas, Buenos Aires · GDB</t>
  </si>
  <si>
    <t>Anorí Libertad · MDT y Ortofoto</t>
  </si>
  <si>
    <t>Angostura Llanos de Cuiba · GDB</t>
  </si>
  <si>
    <t>Vegachí El Cinco y El Tigre · GDB</t>
  </si>
  <si>
    <t>Fotocontrol ante IGAC de centros poblados a jun-2026 (Tabla 38 p.78-79)</t>
  </si>
  <si>
    <t>Conforme: 2 (Arboletes El Guadual, Las Naranjitas)</t>
  </si>
  <si>
    <t>Devuelto: 13 (Apartadó ×6, Arboletes Las Platas, Carepa ×2, Ciudad Bolívar Farallones, Don Matías Bellavista, Puerto Nare La Sierra, Puerto Triunfo Doradal)</t>
  </si>
  <si>
    <t>Pendiente por entregar: 52 (incluye todos los de la Fase II: Cáceres, Ituango, Murindó, Vigía del Fuerte, Vegachí, Yalí…)</t>
  </si>
  <si>
    <t>Entregas de productos de CP al IGAC: 0 (Tabla 39 p.79)</t>
  </si>
  <si>
    <t>Contraste entre informes y hallazgos de consistencia</t>
  </si>
  <si>
    <t>#</t>
  </si>
  <si>
    <t>Tema</t>
  </si>
  <si>
    <t>Dato A (fuente, pág.)</t>
  </si>
  <si>
    <t>Dato B (fuente, pág.)</t>
  </si>
  <si>
    <t>Lectura</t>
  </si>
  <si>
    <t>Tratamiento en la base</t>
  </si>
  <si>
    <t>Metodología del % de avance</t>
  </si>
  <si>
    <t>Dic-24 (p.44): 15,64% rural = ponderado por hectárea/"importancia" de cada municipio</t>
  </si>
  <si>
    <t>Dic-25 (p.71): 63,1% = 123/195 productos. Jun-26 (p.71): 81,5% = 159/195. Urbano 99,3% = 146/147. CP 35,8% = 72/201 y 56,7% = 114/201</t>
  </si>
  <si>
    <t>Cambió el criterio: desde 2025 es conteo simple de productos, no hectáreas. Los % no son comparables entre 2024 y 2025-26. Por conteo, dic-24 sería 25/171 = 14,6%.</t>
  </si>
  <si>
    <t>Resumen muestra ambos: % en hectáreas (mín–máx) y % por conteo</t>
  </si>
  <si>
    <t>Avance en hectáreas vs 81,5% (jun-26)</t>
  </si>
  <si>
    <t>Informe (p.71): rural 81,5%</t>
  </si>
  <si>
    <t>Tabla 34 p.75: 10 municipios sin vuelo completo suman 1,544,966 ha (35.2% del área rural; con el área contratada de Tarazá)</t>
  </si>
  <si>
    <t>Esos 10 no tienen ningún producto → en hectáreas el avance rural no puede superar ~65% (ya contando GDB). El 81,5% sobreestima el avance territorial.</t>
  </si>
  <si>
    <t>Fila "Techo del avance rural en hectáreas" en Resumen</t>
  </si>
  <si>
    <t>Atrasos rurales dic-25</t>
  </si>
  <si>
    <t>Texto p.72: 3 ortofotos, 3 MDT y 9 GDB atrasadas (15)</t>
  </si>
  <si>
    <t>Tabla 30 p.71: 3 / 5 / 21 (29). Figura 2 p.73 lista 21 (3 orto, 3 MDT, 15 GDB)</t>
  </si>
  <si>
    <t>Tres cifras distintas para el mismo hecho.</t>
  </si>
  <si>
    <t>Se usó la Figura 2 (única con detalle municipal) para marcar "no entregado"</t>
  </si>
  <si>
    <t>Tabla 31 (rural → IGAC, dic-25)</t>
  </si>
  <si>
    <t>Pie de tabla p.72: 35 productos (GDB 11, MDT 11, Orto 13)</t>
  </si>
  <si>
    <t>Filas: 36 (MDT 12; Necoclí, Puerto Nare y 10 más). Texto p.72 repite "11 MDT" dos veces y omite GDB</t>
  </si>
  <si>
    <t>Pie de tabla no suma lo que muestran las filas.</t>
  </si>
  <si>
    <t>Se transcribieron las marcas por fila</t>
  </si>
  <si>
    <t>Tabla 33 (urbano → IGAC, dic-25)</t>
  </si>
  <si>
    <t>Pie p.74: 54 productos (17/19/18)</t>
  </si>
  <si>
    <t>Marcas: 53 (orto 17). Angostura tiene 3 marcas pero total 2; Armenia 2 marcas y total 3; Angostura-ortofoto aparece también en Tabla 34 como "por remitir"</t>
  </si>
  <si>
    <t>Tabla internamente inconsistente.</t>
  </si>
  <si>
    <t>Marcas como impresas; nota en columna T de Urbano_2025</t>
  </si>
  <si>
    <t>Tabla 34 (urbano, por remitir al IGAC, dic-25)</t>
  </si>
  <si>
    <t>Pie p.76 y texto p.75: 64 (27 orto, 30 MDT, 7 GDB)</t>
  </si>
  <si>
    <t>Filas: 62 (26 / 29 / 7). Un párrafo previo (p.74) dice que los 64 pendientes son 18/19/17, copia de los entregados</t>
  </si>
  <si>
    <t>Errores de transcripción.</t>
  </si>
  <si>
    <t>Marcas por fila</t>
  </si>
  <si>
    <t>Figura 3 p.76</t>
  </si>
  <si>
    <t>Título: "Entregas realizadas al IGAC sector urbano"</t>
  </si>
  <si>
    <t>Contenido: GDB de Montebello atrasada (−13 d)</t>
  </si>
  <si>
    <t>Título equivocado; es un atraso, no una entrega. Es el único producto urbano sin entregar a dic-25.</t>
  </si>
  <si>
    <t>Montebello-GDB = 0 en Urbano_2025</t>
  </si>
  <si>
    <t>Centros poblados dic-25</t>
  </si>
  <si>
    <t>Texto p.76-77: 72 entregados (30/31/11), 35,8%; atrasos 2 orto, 1 MDT, 11 BDV</t>
  </si>
  <si>
    <t>Tabla 35 p.77: 85 entregados (GDB 36, MDT 37, Orto 12); atrasos GDB 2 / MDT 1 / Orto 11; 85/201 = 42,3% = el "programado"</t>
  </si>
  <si>
    <t>Columnas GDB/Ortofoto invertidas en la tabla y 85 parece ser lo programado. La Figura 4 coincide con el texto.</t>
  </si>
  <si>
    <t>Hoja CP_360 muestra ambas</t>
  </si>
  <si>
    <t>Aprobados dic-25</t>
  </si>
  <si>
    <t>Sec. 6.2 (p.71, 74): rural 44 orto/44 MDT/17 GDB; urbano 47/49/42</t>
  </si>
  <si>
    <t>Obligación 26, p.106 (corte "31 de noviembre"): rural 45/44/24; urbano 49/49/46</t>
  </si>
  <si>
    <t>Dos conjuntos de cifras distintos en el mismo informe; además noviembre no tiene día 31.</t>
  </si>
  <si>
    <t>Se usó la sección 6.2</t>
  </si>
  <si>
    <t>Aprobados jun-26</t>
  </si>
  <si>
    <t>Sec. 6.2 (p.71-72): rural 52/52/44; urbano 49/49/49</t>
  </si>
  <si>
    <t>Obligación 26, p.115: rural 54/54/51 "aprobados" (igual a los entregados)</t>
  </si>
  <si>
    <t>La sección de obligaciones reporta entregados como aprobados.</t>
  </si>
  <si>
    <t>Urbano jun-26 · atrasos</t>
  </si>
  <si>
    <t>Tabla 30 p.72: GDB atrasadas = 1</t>
  </si>
  <si>
    <t>Total de atrasadas = 0 y el texto dice "no se presentan retrasos"</t>
  </si>
  <si>
    <t>Fila y total no cuadran.</t>
  </si>
  <si>
    <t>Se tomó 49/49/49 entregados</t>
  </si>
  <si>
    <t>Tabla 34 jun-26 (vuelos pendientes)</t>
  </si>
  <si>
    <t>Tarazá: área 15.339,85 ha, vuelo 26%</t>
  </si>
  <si>
    <t>Área contratada de Tarazá: 115.340 ha (Tabla 2) → vuelo real ≈ 3,5%</t>
  </si>
  <si>
    <t>Se perdió un dígito; el total de 1.444.967,35 ha arrastra el error.</t>
  </si>
  <si>
    <t>Resumen usa el área contratada</t>
  </si>
  <si>
    <t>Tabla 34 jun-26 · % de vuelo</t>
  </si>
  <si>
    <t>Cáceres 43% e Ituango 53%</t>
  </si>
  <si>
    <t>Calculado con sus propias columnas: Cáceres 37,0% e Ituango 28,0%; Figura 10 p.92 muestra Cáceres 65%, Dabeiba 59%, Frontino 65%, Ituango 60%</t>
  </si>
  <si>
    <t>Tres versiones del avance de vuelo. Total de la fila: 39,85% reportado vs 52,53% calculado (759.066,85 / 1.444.967,35).</t>
  </si>
  <si>
    <t>Solo se usa la lista de municipios (no los %)</t>
  </si>
  <si>
    <t>Área pendiente de vuelo jun-26</t>
  </si>
  <si>
    <t>Tabla 33 p.74: 4.393.720,35 − 3.722.584,02 = 671.136,33 ha</t>
  </si>
  <si>
    <t>Tabla 34 p.75: 685.900,50 ha</t>
  </si>
  <si>
    <t>14.764 ha de diferencia.</t>
  </si>
  <si>
    <t>Informativo</t>
  </si>
  <si>
    <t>Área rural total</t>
  </si>
  <si>
    <t>Tablas 2 + Fase II: 3.489.900 + 903.821,09 = 4.393.721,09 ha</t>
  </si>
  <si>
    <t>Dic-25 Tabla 42 p.85: 4.393.725; jun-26 Tabla 33: 4.393.720,35</t>
  </si>
  <si>
    <t>Diferencias de pocas hectáreas. Ituango entra completo (150.377,84 ha) aunque solo se cartografía una parte (p.64).</t>
  </si>
  <si>
    <t>Base usa 4.393.721 ha</t>
  </si>
  <si>
    <t>Área del proyecto</t>
  </si>
  <si>
    <t>Tablas 2-3: 3.498.809,11 ha (texto p.7 "3´498.809")</t>
  </si>
  <si>
    <t>Tabla 26 p.64 (2025) y Tabla 27 p.68 (2026): 3.519.764,40 ha; Tabla 26 dice 139 municipios (2026: 106)</t>
  </si>
  <si>
    <t>Diferencia de 20.955 ha y de conteo de municipios entre informes.</t>
  </si>
  <si>
    <t>Área urbana</t>
  </si>
  <si>
    <t>Contrato (Tabla 3): 8.909,11 ha</t>
  </si>
  <si>
    <t>Interventoría (Tablas 32/43): 8.781,19 ha</t>
  </si>
  <si>
    <t>127,92 ha menos; por municipio solo se conoce la cifra de la interventoría en los 20 de dic-24.</t>
  </si>
  <si>
    <t>H = área interventoría si existe, si no contrato (igual que el ejemplo)</t>
  </si>
  <si>
    <t>Número de centros poblados</t>
  </si>
  <si>
    <t>Tabla 26 (dic-25): 27 + Tabla 27: 30 (Fase II)</t>
  </si>
  <si>
    <t>Jun-26: 29 + 36 de Fase II = 65; tablas de entregas usan 67</t>
  </si>
  <si>
    <t>No cuadra el universo de CP.</t>
  </si>
  <si>
    <t>Imágenes 360° jun-26</t>
  </si>
  <si>
    <t>Texto p.73: área entregada 24.069 ha</t>
  </si>
  <si>
    <t>Contratada: 20.314,74 ha (118%); aprobación "92,9%" vs 105/111 = 94,6%</t>
  </si>
  <si>
    <t>Cifras incoherentes; dic-25 decía 19.566 ha.</t>
  </si>
  <si>
    <t>Hoja CP_360</t>
  </si>
  <si>
    <t>Fotocontrol por sector jun-26</t>
  </si>
  <si>
    <t>Tabla 37 p.77: rural conforme 48, devuelto 1, sin estado 13 (=62 de 65); CP devuelto 0</t>
  </si>
  <si>
    <t>Tabla 38 p.78: rural además 3 "IGAC CT" (=65); CP devuelto 13</t>
  </si>
  <si>
    <t>Las dos tablas consecutivas no coinciden.</t>
  </si>
  <si>
    <t>Se usó Tabla 38 (detalle)</t>
  </si>
  <si>
    <t>Productos entregados al IGAC</t>
  </si>
  <si>
    <t>Dic-25: rural 35 (o 36) + urbano 54 = ~89</t>
  </si>
  <si>
    <t>Jun-26 (Tabla 39 p.79): rural 78 + urbano 137 = 215; 71 oficiales, 48 en revisión, 96 devueltos</t>
  </si>
  <si>
    <t>Crecimiento real de ~126 productos en 6 meses, pero 45% de lo radicado sigue devuelto. Solo Puerto Berrío tiene los 3 productos rurales oficiales.</t>
  </si>
  <si>
    <t>Hojas *_2026 columnas IGAC</t>
  </si>
  <si>
    <t>Cronograma</t>
  </si>
  <si>
    <t>Texto p.64 y p.68: "versión cuatro ajustada entregada el 8 de enero de 2024"</t>
  </si>
  <si>
    <t>Sec. 6.2.4 dic-25 p.83: 8 de enero de 2025</t>
  </si>
  <si>
    <t>Error de año (el contrato inicia en 2024).</t>
  </si>
  <si>
    <t>Numeración de tablas jun-26</t>
  </si>
  <si>
    <t>Índice: "Tabla 41 Estado detallado… IGAC"</t>
  </si>
  <si>
    <t>Cuerpo p.78: "Tabla 38"</t>
  </si>
  <si>
    <t>El índice no coincide con el cuerpo; se citan las del cuerpo.</t>
  </si>
  <si>
    <t>—</t>
  </si>
  <si>
    <t>Verificación del ejemplo (dic-24)</t>
  </si>
  <si>
    <t>Áreas de 57 rurales y 49 urbanos del Excel</t>
  </si>
  <si>
    <t>Tablas 2 y 3 del PDF</t>
  </si>
  <si>
    <t>Coinciden sin diferencias; Tablas 25 y 28 coinciden en totales (12/13 rural; 20/16/6 urbano).</t>
  </si>
  <si>
    <t>Se reutilizó sin cambios</t>
  </si>
  <si>
    <t>Mapa de evidencia: de dónde sale cada dato (págs. del PDF)</t>
  </si>
  <si>
    <t>Dato en la base</t>
  </si>
  <si>
    <t>Corte</t>
  </si>
  <si>
    <t>Informe</t>
  </si>
  <si>
    <t>Tabla / figura</t>
  </si>
  <si>
    <t>Pág.</t>
  </si>
  <si>
    <t>Método</t>
  </si>
  <si>
    <t>Área contrato por municipio (57 rural, 49 urbano)</t>
  </si>
  <si>
    <t>Todos</t>
  </si>
  <si>
    <t>N°8, 20, 26</t>
  </si>
  <si>
    <t>Tablas 2 y 3</t>
  </si>
  <si>
    <t>8-9 (2024); 7-9 (2025/26)</t>
  </si>
  <si>
    <t>Transcrito; verificado contra el Excel ejemplo: 0 diferencias</t>
  </si>
  <si>
    <t>Área Fase II (8 municipios, 903.821,09 ha)</t>
  </si>
  <si>
    <t>2025-26</t>
  </si>
  <si>
    <t>N°20 / N°26</t>
  </si>
  <si>
    <t>Tabla 25 / Tabla 26</t>
  </si>
  <si>
    <t>64 / 68</t>
  </si>
  <si>
    <t>Transcrito</t>
  </si>
  <si>
    <t>Entregas rurales, importancia y % conforme</t>
  </si>
  <si>
    <t>Dic-24</t>
  </si>
  <si>
    <t>N°8</t>
  </si>
  <si>
    <t>Tabla 25 y 26</t>
  </si>
  <si>
    <t>44-45</t>
  </si>
  <si>
    <t>Del Excel ejemplo, revisado</t>
  </si>
  <si>
    <t>Entregas urbanas, importancia y % conforme</t>
  </si>
  <si>
    <t>Tabla 28</t>
  </si>
  <si>
    <t>51-52</t>
  </si>
  <si>
    <t>Productos radicados al IGAC rural</t>
  </si>
  <si>
    <t>Dic-25</t>
  </si>
  <si>
    <t>N°20</t>
  </si>
  <si>
    <t>Tabla 31</t>
  </si>
  <si>
    <t>72</t>
  </si>
  <si>
    <t>Productos atrasados rural (marca 0)</t>
  </si>
  <si>
    <t>Figura 2 (imagen)</t>
  </si>
  <si>
    <t>73</t>
  </si>
  <si>
    <t>Leída visualmente en la imagen</t>
  </si>
  <si>
    <t>Urbano: 49/49/48 entregados; Montebello GDB atrasada</t>
  </si>
  <si>
    <t>Tabla 32 y Figura 3</t>
  </si>
  <si>
    <t>74, 76</t>
  </si>
  <si>
    <t>Texto + imagen; deducción</t>
  </si>
  <si>
    <t>Urbano → IGAC (radicado / por remitir)</t>
  </si>
  <si>
    <t>Tablas 33 y 34</t>
  </si>
  <si>
    <t>74-76</t>
  </si>
  <si>
    <t>Marcas por posición de columna; totales validados</t>
  </si>
  <si>
    <t>Rural: totales entregados/aprobados 123 / 105</t>
  </si>
  <si>
    <t>Tabla 30</t>
  </si>
  <si>
    <t>71</t>
  </si>
  <si>
    <t>Rural: totales 159 / 148; urbano 147; CP 114</t>
  </si>
  <si>
    <t>Jun-26</t>
  </si>
  <si>
    <t>N°26</t>
  </si>
  <si>
    <t>Tablas 29, 30, 31</t>
  </si>
  <si>
    <t>71-73</t>
  </si>
  <si>
    <t>10 municipios con vuelo incompleto (marca 0)</t>
  </si>
  <si>
    <t>Tabla 34, Figura 10</t>
  </si>
  <si>
    <t>75, 92</t>
  </si>
  <si>
    <t>Transcrito; verificado con bitácora de vuelos T41 p.81 (Frontino, Dabeiba, Valdivia)</t>
  </si>
  <si>
    <t>Estado IGAC por producto y municipio</t>
  </si>
  <si>
    <t>Tabla 40</t>
  </si>
  <si>
    <t>80</t>
  </si>
  <si>
    <t>Listas parseadas; totales cuadran: rural 49/11/18, urbano 47/37/53</t>
  </si>
  <si>
    <t>Fotocontrol por municipio (FTC)</t>
  </si>
  <si>
    <t>Tabla 38</t>
  </si>
  <si>
    <t>78-79</t>
  </si>
  <si>
    <t>Listas</t>
  </si>
  <si>
    <t>Pagos del componente de cartografía</t>
  </si>
  <si>
    <t>Tabla 11</t>
  </si>
  <si>
    <t>21</t>
  </si>
  <si>
    <t>Pagos 1-19; 2024 = pagos 1-4</t>
  </si>
  <si>
    <t>Regla de inferencia de marcas</t>
  </si>
  <si>
    <t>1 = entregado en un corte previo, radicado al IGAC o con estado IGAC (las entregas no retroceden); 0 = atrasado (dic-25) o vuelo incompleto (jun-26); vacío = el informe no lo dice. Rango: las entregas reportadas (Tabla 30/29) que no tienen marca municipal se reparten entre las celdas vacías: mínimo en las de menor área, máximo en las de mayor área. Región de Anorí, Ituango, Murindó, Vegachí y Vigía: subregión estándar de Antioquia, no consta en los informes.</t>
  </si>
  <si>
    <t>Cambio</t>
  </si>
  <si>
    <t>Detalle</t>
  </si>
  <si>
    <t>Base</t>
  </si>
  <si>
    <t>Se trabajó sobre la versión 4 / estructura original.</t>
  </si>
  <si>
    <t>Dic-2025 rural</t>
  </si>
  <si>
    <t>Se restauró el rango original; no se modificaron las marcas de Rural_2025 con base en jun-26.</t>
  </si>
  <si>
    <t>2024</t>
  </si>
  <si>
    <t>Se añadieron columnas separadas para dato reportado, ponderación, cobertura y conteo.</t>
  </si>
  <si>
    <t>Urbano dic-24</t>
  </si>
  <si>
    <t>Se conserva el ajuste del denominador a 8.781,19 ha para reproducir el 44,76 % del informe.</t>
  </si>
  <si>
    <t xml:space="preserve">Suma pagos listados jun-26 </t>
  </si>
  <si>
    <t>Suma pagos 1-14 (dic-25)</t>
  </si>
  <si>
    <t>Suma pagos 1-4 (dic-24)</t>
  </si>
  <si>
    <t>Diferencia</t>
  </si>
  <si>
    <t>Total del informe</t>
  </si>
  <si>
    <t>Suma itemizada</t>
  </si>
  <si>
    <t>Control</t>
  </si>
  <si>
    <t>Tabla 11 inf. N°26</t>
  </si>
  <si>
    <t>Tabla 11 inf. N°20</t>
  </si>
  <si>
    <t>Fecha</t>
  </si>
  <si>
    <t>Valor (COP)</t>
  </si>
  <si>
    <t>Pago N°</t>
  </si>
  <si>
    <t>Pagos de cartografía · contrato 149-2024 (Tabla 11 de los informes)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</si>
</sst>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1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Alignment="1"/>
    <xf numFmtId="0" fontId="6" fillId="4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9" fontId="5" fillId="2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5" fillId="0" borderId="0" xfId="0" applyNumberFormat="1" applyFont="1" applyAlignment="1">
      <alignment vertical="top" wrapText="1"/>
    </xf>
    <xf numFmtId="4" fontId="4" fillId="0" borderId="0" xfId="0" applyNumberFormat="1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0" fontId="5" fillId="0" borderId="0" xfId="0" applyNumberFormat="1" applyFont="1" applyAlignment="1">
      <alignment vertical="top" wrapText="1"/>
    </xf>
    <xf numFmtId="4" fontId="5" fillId="0" borderId="0" xfId="0" applyNumberFormat="1" applyFont="1" applyAlignment="1">
      <alignment vertical="top" wrapText="1"/>
    </xf>
    <xf numFmtId="4" fontId="7" fillId="6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3" borderId="0" xfId="0" applyFill="1" applyAlignment="1"/>
    <xf numFmtId="4" fontId="3" fillId="3" borderId="0" xfId="0" applyNumberFormat="1" applyFont="1" applyFill="1" applyAlignment="1">
      <alignment vertical="top" wrapText="1"/>
    </xf>
    <xf numFmtId="10" fontId="3" fillId="3" borderId="0" xfId="0" applyNumberFormat="1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0" fillId="2" borderId="0" xfId="0" applyFill="1" applyAlignment="1"/>
    <xf numFmtId="0" fontId="5" fillId="0" borderId="0" xfId="0" applyFont="1" applyAlignment="1"/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0" xfId="0" applyAlignment="1"/>
    <xf numFmtId="164" fontId="0" fillId="0" borderId="0" xfId="0" applyNumberFormat="1"/>
    <xf numFmtId="164" fontId="7" fillId="0" borderId="0" xfId="0" applyNumberFormat="1" applyFont="1"/>
    <xf numFmtId="14" fontId="0" fillId="0" borderId="0" xfId="0" applyNumberFormat="1" applyAlignment="1">
      <alignment horizontal="left"/>
    </xf>
    <xf numFmtId="164" fontId="7" fillId="0" borderId="0" xfId="0" applyNumberFormat="1" applyFont="1" applyAlignment="1">
      <alignment horizontal="left" indent="3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zoomScale="85" zoomScaleNormal="85" workbookViewId="0">
      <pane ySplit="3" topLeftCell="A60" activePane="bottomLeft" state="frozen"/>
      <selection pane="bottomLeft" activeCell="B74" sqref="B74"/>
    </sheetView>
  </sheetViews>
  <sheetFormatPr baseColWidth="10" defaultColWidth="8.7109375" defaultRowHeight="15" x14ac:dyDescent="0.25"/>
  <cols>
    <col min="1" max="1" width="58" style="4" customWidth="1"/>
    <col min="2" max="2" width="52" style="4" customWidth="1"/>
    <col min="3" max="5" width="19" style="4" customWidth="1"/>
  </cols>
  <sheetData>
    <row r="1" spans="1:5" ht="15" customHeight="1" x14ac:dyDescent="0.25">
      <c r="A1" s="5" t="s">
        <v>2</v>
      </c>
    </row>
    <row r="2" spans="1:5" ht="15" customHeight="1" x14ac:dyDescent="0.25">
      <c r="A2" s="6" t="s">
        <v>3</v>
      </c>
    </row>
    <row r="3" spans="1:5" x14ac:dyDescent="0.25">
      <c r="A3" s="30" t="s">
        <v>4</v>
      </c>
      <c r="B3" s="31"/>
      <c r="C3" s="31"/>
      <c r="D3" s="31"/>
      <c r="E3" s="31"/>
    </row>
    <row r="4" spans="1:5" ht="15" customHeight="1" x14ac:dyDescent="0.25">
      <c r="A4" s="7" t="s">
        <v>5</v>
      </c>
    </row>
    <row r="5" spans="1:5" ht="15" customHeight="1" x14ac:dyDescent="0.25">
      <c r="A5" s="8" t="s">
        <v>6</v>
      </c>
    </row>
    <row r="6" spans="1:5" ht="15" customHeight="1" x14ac:dyDescent="0.25">
      <c r="A6" s="8" t="s">
        <v>7</v>
      </c>
      <c r="C6" s="9">
        <v>0.45</v>
      </c>
      <c r="D6" s="6" t="s">
        <v>8</v>
      </c>
    </row>
    <row r="7" spans="1:5" ht="15" customHeight="1" x14ac:dyDescent="0.25">
      <c r="A7" s="8" t="s">
        <v>9</v>
      </c>
      <c r="C7" s="9">
        <v>0.45</v>
      </c>
      <c r="D7" s="6" t="s">
        <v>10</v>
      </c>
    </row>
    <row r="8" spans="1:5" ht="15" customHeight="1" x14ac:dyDescent="0.25">
      <c r="A8" s="8" t="s">
        <v>11</v>
      </c>
      <c r="C8" s="9">
        <v>0</v>
      </c>
      <c r="D8" s="6" t="s">
        <v>12</v>
      </c>
    </row>
    <row r="9" spans="1:5" ht="15" customHeight="1" x14ac:dyDescent="0.25">
      <c r="A9" s="8" t="s">
        <v>13</v>
      </c>
      <c r="C9" s="9">
        <v>0.1</v>
      </c>
      <c r="D9" s="6" t="s">
        <v>14</v>
      </c>
    </row>
    <row r="11" spans="1:5" ht="15" customHeight="1" x14ac:dyDescent="0.25">
      <c r="A11" s="10" t="s">
        <v>15</v>
      </c>
      <c r="B11" s="10" t="s">
        <v>16</v>
      </c>
      <c r="C11" s="10" t="s">
        <v>17</v>
      </c>
      <c r="D11" s="10" t="s">
        <v>0</v>
      </c>
      <c r="E11" s="10" t="s">
        <v>18</v>
      </c>
    </row>
    <row r="12" spans="1:5" ht="15" customHeight="1" x14ac:dyDescent="0.25">
      <c r="A12" s="8" t="s">
        <v>19</v>
      </c>
      <c r="B12" s="6" t="s">
        <v>20</v>
      </c>
      <c r="C12" s="11">
        <f>COUNTA(Rural_2024!B5:B61)</f>
        <v>57</v>
      </c>
      <c r="D12" s="11">
        <f>COUNTA(Rural_2025!B5:B69)</f>
        <v>65</v>
      </c>
      <c r="E12" s="11">
        <f>COUNTA(Rural_2026!B5:B69)</f>
        <v>65</v>
      </c>
    </row>
    <row r="13" spans="1:5" ht="15" customHeight="1" x14ac:dyDescent="0.25">
      <c r="A13" s="8" t="s">
        <v>21</v>
      </c>
      <c r="B13" s="6" t="s">
        <v>22</v>
      </c>
      <c r="C13" s="11">
        <f>COUNTIF(Rural_2024!T5:T61,"Con entregas")</f>
        <v>15</v>
      </c>
      <c r="D13" s="11">
        <f>COUNTIF(Rural_2025!V5:V69,"Con entregas verificadas")</f>
        <v>15</v>
      </c>
      <c r="E13" s="11">
        <f>COUNTIF(Rural_2026!V5:V69,"Con entregas verificadas")</f>
        <v>30</v>
      </c>
    </row>
    <row r="14" spans="1:5" ht="15" customHeight="1" x14ac:dyDescent="0.25">
      <c r="A14" s="8" t="s">
        <v>23</v>
      </c>
      <c r="B14" s="6" t="s">
        <v>24</v>
      </c>
      <c r="C14" s="12">
        <v>0</v>
      </c>
      <c r="D14" s="11">
        <f>COUNTIF(Rural_2025!V5:V69,"Sin evidencia municipal")</f>
        <v>50</v>
      </c>
      <c r="E14" s="11">
        <f>COUNTIF(Rural_2026!V5:V69,"Sin evidencia municipal")</f>
        <v>25</v>
      </c>
    </row>
    <row r="15" spans="1:5" ht="15" customHeight="1" x14ac:dyDescent="0.25">
      <c r="A15" s="8" t="s">
        <v>25</v>
      </c>
      <c r="B15" s="6" t="s">
        <v>26</v>
      </c>
      <c r="C15" s="13">
        <f>Rural_2024!H62</f>
        <v>3489899.9899999998</v>
      </c>
      <c r="D15" s="13">
        <f>Rural_2025!H70</f>
        <v>4393721.0799999991</v>
      </c>
      <c r="E15" s="13">
        <f>Rural_2026!H70</f>
        <v>4393721.0799999991</v>
      </c>
    </row>
    <row r="16" spans="1:5" ht="22.35" customHeight="1" x14ac:dyDescent="0.25">
      <c r="A16" s="8" t="s">
        <v>27</v>
      </c>
      <c r="B16" s="6" t="s">
        <v>28</v>
      </c>
      <c r="C16" s="13">
        <f>Rural_2024!O62</f>
        <v>545704.06949999987</v>
      </c>
      <c r="D16" s="13">
        <f>Rural_2025!O70</f>
        <v>1766327.71</v>
      </c>
      <c r="E16" s="13">
        <f>Rural_2026!O70</f>
        <v>2601829.906</v>
      </c>
    </row>
    <row r="17" spans="1:5" ht="22.35" customHeight="1" x14ac:dyDescent="0.25">
      <c r="A17" s="8" t="s">
        <v>29</v>
      </c>
      <c r="B17" s="6" t="s">
        <v>30</v>
      </c>
      <c r="C17" s="13">
        <f>Rural_2024!O62</f>
        <v>545704.06949999987</v>
      </c>
      <c r="D17" s="13">
        <f>Rural_2025!P70</f>
        <v>3663421.1579999994</v>
      </c>
      <c r="E17" s="13">
        <f>Rural_2026!P70</f>
        <v>2832207.28</v>
      </c>
    </row>
    <row r="18" spans="1:5" ht="15" customHeight="1" x14ac:dyDescent="0.25">
      <c r="A18" s="8" t="s">
        <v>31</v>
      </c>
      <c r="B18" s="6" t="s">
        <v>32</v>
      </c>
      <c r="C18" s="14">
        <f>Rural_2024!N62</f>
        <v>0.15636667843309743</v>
      </c>
      <c r="D18" s="14">
        <f>Rural_2025!M70</f>
        <v>0.40201179770837897</v>
      </c>
      <c r="E18" s="14">
        <f>Rural_2026!M70</f>
        <v>0.59217002140700303</v>
      </c>
    </row>
    <row r="19" spans="1:5" ht="15" customHeight="1" x14ac:dyDescent="0.25">
      <c r="A19" s="8" t="s">
        <v>33</v>
      </c>
      <c r="B19" s="6" t="s">
        <v>34</v>
      </c>
      <c r="C19" s="14">
        <f>Rural_2024!N62</f>
        <v>0.15636667843309743</v>
      </c>
      <c r="D19" s="14">
        <f>Rural_2025!N70</f>
        <v>0.83378555245022523</v>
      </c>
      <c r="E19" s="14">
        <f>Rural_2026!N70</f>
        <v>0.64460333927250579</v>
      </c>
    </row>
    <row r="20" spans="1:5" ht="22.35" customHeight="1" x14ac:dyDescent="0.25">
      <c r="A20" s="8" t="s">
        <v>35</v>
      </c>
      <c r="B20" s="6" t="s">
        <v>36</v>
      </c>
      <c r="C20" s="15">
        <v>0.15640000000000001</v>
      </c>
      <c r="D20" s="15">
        <v>0.63100000000000001</v>
      </c>
      <c r="E20" s="15">
        <v>0.81499999999999995</v>
      </c>
    </row>
    <row r="21" spans="1:5" ht="15" customHeight="1" x14ac:dyDescent="0.25">
      <c r="A21" s="8" t="s">
        <v>37</v>
      </c>
      <c r="B21" s="6" t="s">
        <v>38</v>
      </c>
      <c r="C21" s="12">
        <v>25</v>
      </c>
      <c r="D21" s="12">
        <v>123</v>
      </c>
      <c r="E21" s="12">
        <v>159</v>
      </c>
    </row>
    <row r="22" spans="1:5" ht="15" customHeight="1" x14ac:dyDescent="0.25">
      <c r="A22" s="8" t="s">
        <v>39</v>
      </c>
      <c r="B22" s="6" t="s">
        <v>40</v>
      </c>
      <c r="C22" s="11">
        <f>57*3</f>
        <v>171</v>
      </c>
      <c r="D22" s="12">
        <v>195</v>
      </c>
      <c r="E22" s="12">
        <v>195</v>
      </c>
    </row>
    <row r="23" spans="1:5" ht="15" customHeight="1" x14ac:dyDescent="0.25">
      <c r="A23" s="8" t="s">
        <v>41</v>
      </c>
      <c r="B23" s="6" t="s">
        <v>42</v>
      </c>
      <c r="C23" s="14">
        <f>C21/C22</f>
        <v>0.14619883040935672</v>
      </c>
      <c r="D23" s="14">
        <f>D21/D22</f>
        <v>0.63076923076923075</v>
      </c>
      <c r="E23" s="14">
        <f>E21/E22</f>
        <v>0.81538461538461537</v>
      </c>
    </row>
    <row r="24" spans="1:5" ht="15" customHeight="1" x14ac:dyDescent="0.25">
      <c r="A24" s="8" t="s">
        <v>43</v>
      </c>
      <c r="B24" s="6" t="s">
        <v>44</v>
      </c>
      <c r="C24" s="14">
        <f>C23-C19</f>
        <v>-1.0167848023740711E-2</v>
      </c>
      <c r="D24" s="14">
        <f>D23-D19</f>
        <v>-0.20301632168099448</v>
      </c>
      <c r="E24" s="14">
        <f>E23-E19</f>
        <v>0.17078127611210958</v>
      </c>
    </row>
    <row r="25" spans="1:5" ht="15" customHeight="1" x14ac:dyDescent="0.25">
      <c r="A25" s="8" t="s">
        <v>45</v>
      </c>
      <c r="B25" s="6" t="s">
        <v>38</v>
      </c>
      <c r="C25" s="12">
        <v>12</v>
      </c>
      <c r="D25" s="12">
        <v>49</v>
      </c>
      <c r="E25" s="12">
        <v>54</v>
      </c>
    </row>
    <row r="26" spans="1:5" ht="15" customHeight="1" x14ac:dyDescent="0.25">
      <c r="A26" s="8" t="s">
        <v>46</v>
      </c>
      <c r="B26" s="6" t="s">
        <v>38</v>
      </c>
      <c r="C26" s="12">
        <v>13</v>
      </c>
      <c r="D26" s="12">
        <v>47</v>
      </c>
      <c r="E26" s="12">
        <v>54</v>
      </c>
    </row>
    <row r="27" spans="1:5" ht="15" customHeight="1" x14ac:dyDescent="0.25">
      <c r="A27" s="8" t="s">
        <v>47</v>
      </c>
      <c r="B27" s="6" t="s">
        <v>38</v>
      </c>
      <c r="C27" s="12">
        <v>0</v>
      </c>
      <c r="D27" s="12">
        <v>27</v>
      </c>
      <c r="E27" s="12">
        <v>51</v>
      </c>
    </row>
    <row r="28" spans="1:5" ht="15" customHeight="1" x14ac:dyDescent="0.25">
      <c r="A28" s="8" t="s">
        <v>48</v>
      </c>
      <c r="B28" s="6" t="s">
        <v>49</v>
      </c>
      <c r="C28" s="12">
        <v>10</v>
      </c>
      <c r="D28" s="12">
        <v>44</v>
      </c>
      <c r="E28" s="12">
        <v>52</v>
      </c>
    </row>
    <row r="29" spans="1:5" ht="15" customHeight="1" x14ac:dyDescent="0.25">
      <c r="A29" s="8" t="s">
        <v>50</v>
      </c>
      <c r="B29" s="6" t="s">
        <v>49</v>
      </c>
      <c r="C29" s="12">
        <v>9</v>
      </c>
      <c r="D29" s="12">
        <v>44</v>
      </c>
      <c r="E29" s="12">
        <v>52</v>
      </c>
    </row>
    <row r="30" spans="1:5" ht="15" customHeight="1" x14ac:dyDescent="0.25">
      <c r="A30" s="8" t="s">
        <v>51</v>
      </c>
      <c r="B30" s="6" t="s">
        <v>49</v>
      </c>
      <c r="C30" s="12">
        <v>0</v>
      </c>
      <c r="D30" s="12">
        <v>17</v>
      </c>
      <c r="E30" s="12">
        <v>44</v>
      </c>
    </row>
    <row r="31" spans="1:5" ht="22.35" customHeight="1" x14ac:dyDescent="0.25">
      <c r="A31" s="8" t="s">
        <v>52</v>
      </c>
      <c r="B31" s="6" t="s">
        <v>53</v>
      </c>
      <c r="C31" s="11">
        <f>Rural_2024!I62</f>
        <v>12</v>
      </c>
      <c r="D31" s="11">
        <f>Rural_2025!I70</f>
        <v>14</v>
      </c>
      <c r="E31" s="11">
        <f>Rural_2026!I70</f>
        <v>27</v>
      </c>
    </row>
    <row r="32" spans="1:5" ht="22.35" customHeight="1" x14ac:dyDescent="0.25">
      <c r="A32" s="8" t="s">
        <v>54</v>
      </c>
      <c r="B32" s="6" t="s">
        <v>53</v>
      </c>
      <c r="C32" s="11">
        <f>Rural_2024!J62</f>
        <v>13</v>
      </c>
      <c r="D32" s="11">
        <f>Rural_2025!J70</f>
        <v>14</v>
      </c>
      <c r="E32" s="11">
        <f>Rural_2026!J70</f>
        <v>26</v>
      </c>
    </row>
    <row r="33" spans="1:5" ht="22.35" customHeight="1" x14ac:dyDescent="0.25">
      <c r="A33" s="8" t="s">
        <v>55</v>
      </c>
      <c r="B33" s="6" t="s">
        <v>53</v>
      </c>
      <c r="C33" s="11">
        <f>Rural_2024!K62</f>
        <v>0</v>
      </c>
      <c r="D33" s="11">
        <f>Rural_2025!K70</f>
        <v>11</v>
      </c>
      <c r="E33" s="11">
        <f>Rural_2026!K70</f>
        <v>25</v>
      </c>
    </row>
    <row r="34" spans="1:5" ht="23.85" customHeight="1" x14ac:dyDescent="0.25">
      <c r="A34" s="8" t="s">
        <v>56</v>
      </c>
      <c r="B34" s="6" t="s">
        <v>57</v>
      </c>
      <c r="C34" s="13">
        <f>Rural_2024!R62</f>
        <v>494844.2115519378</v>
      </c>
    </row>
    <row r="35" spans="1:5" ht="22.35" customHeight="1" x14ac:dyDescent="0.25">
      <c r="A35" s="8" t="s">
        <v>58</v>
      </c>
      <c r="B35" s="6" t="s">
        <v>59</v>
      </c>
      <c r="C35" s="16">
        <v>0</v>
      </c>
      <c r="D35" s="13">
        <f>Rural_2025!U70</f>
        <v>0</v>
      </c>
      <c r="E35" s="13">
        <f>Rural_2026!U70</f>
        <v>339479.89600000007</v>
      </c>
    </row>
    <row r="36" spans="1:5" ht="15" customHeight="1" x14ac:dyDescent="0.25">
      <c r="A36" s="8" t="s">
        <v>60</v>
      </c>
      <c r="B36" s="6" t="s">
        <v>61</v>
      </c>
      <c r="C36" s="15">
        <v>0</v>
      </c>
      <c r="D36" s="14">
        <f>D35/Rural_2025!H70</f>
        <v>0</v>
      </c>
      <c r="E36" s="14">
        <f>E35/Rural_2026!H70</f>
        <v>7.7264780767558452E-2</v>
      </c>
    </row>
    <row r="37" spans="1:5" ht="22.35" customHeight="1" x14ac:dyDescent="0.25">
      <c r="A37" s="8" t="s">
        <v>62</v>
      </c>
      <c r="B37" s="6" t="s">
        <v>63</v>
      </c>
      <c r="C37" s="12">
        <v>0</v>
      </c>
      <c r="D37" s="12">
        <v>35</v>
      </c>
      <c r="E37" s="12">
        <v>78</v>
      </c>
    </row>
    <row r="39" spans="1:5" ht="15" customHeight="1" x14ac:dyDescent="0.25">
      <c r="A39" s="10" t="s">
        <v>64</v>
      </c>
      <c r="B39" s="10" t="s">
        <v>16</v>
      </c>
      <c r="C39" s="10" t="s">
        <v>17</v>
      </c>
      <c r="D39" s="10" t="s">
        <v>0</v>
      </c>
      <c r="E39" s="10" t="s">
        <v>18</v>
      </c>
    </row>
    <row r="40" spans="1:5" ht="15" customHeight="1" x14ac:dyDescent="0.25">
      <c r="A40" s="8" t="s">
        <v>19</v>
      </c>
      <c r="B40" s="6" t="s">
        <v>65</v>
      </c>
      <c r="C40" s="11">
        <f>COUNTA(Urbano_2024!B5:B53)</f>
        <v>49</v>
      </c>
      <c r="D40" s="11">
        <f>COUNTA(Urbano_2025!B5:B53)</f>
        <v>49</v>
      </c>
      <c r="E40" s="11">
        <f>COUNTA(Urbano_2026!B5:B53)</f>
        <v>49</v>
      </c>
    </row>
    <row r="41" spans="1:5" ht="15" customHeight="1" x14ac:dyDescent="0.25">
      <c r="A41" s="8" t="s">
        <v>21</v>
      </c>
      <c r="B41" s="6" t="s">
        <v>22</v>
      </c>
      <c r="C41" s="11">
        <f>COUNTIF(Urbano_2024!T5:T53,"Con entregas")</f>
        <v>20</v>
      </c>
      <c r="D41" s="11">
        <f>COUNTIF(Urbano_2025!V5:V53,"Con entregas verificadas")</f>
        <v>49</v>
      </c>
      <c r="E41" s="11">
        <f>COUNTIF(Urbano_2026!V5:V53,"Con entregas verificadas")</f>
        <v>49</v>
      </c>
    </row>
    <row r="42" spans="1:5" ht="15" customHeight="1" x14ac:dyDescent="0.25">
      <c r="A42" s="8" t="s">
        <v>23</v>
      </c>
      <c r="B42" s="6" t="s">
        <v>24</v>
      </c>
      <c r="C42" s="12">
        <v>0</v>
      </c>
      <c r="D42" s="11">
        <f>COUNTIF(Urbano_2025!V5:V53,"Sin evidencia municipal")</f>
        <v>0</v>
      </c>
      <c r="E42" s="11">
        <f>COUNTIF(Urbano_2026!V5:V53,"Sin evidencia municipal")</f>
        <v>0</v>
      </c>
    </row>
    <row r="43" spans="1:5" ht="15" customHeight="1" x14ac:dyDescent="0.25">
      <c r="A43" s="8" t="s">
        <v>25</v>
      </c>
      <c r="B43" s="6" t="s">
        <v>66</v>
      </c>
      <c r="C43" s="17">
        <v>8781.19</v>
      </c>
      <c r="D43" s="13">
        <f>Urbano_2025!H54</f>
        <v>8338.0400000000009</v>
      </c>
      <c r="E43" s="13">
        <f>Urbano_2026!H54</f>
        <v>8338.0400000000009</v>
      </c>
    </row>
    <row r="44" spans="1:5" ht="22.35" customHeight="1" x14ac:dyDescent="0.25">
      <c r="A44" s="8" t="s">
        <v>27</v>
      </c>
      <c r="B44" s="6" t="s">
        <v>67</v>
      </c>
      <c r="C44" s="13">
        <f>Urbano_2024!O54</f>
        <v>3930.3945000000003</v>
      </c>
      <c r="D44" s="13">
        <f>Urbano_2025!O54</f>
        <v>8331.67</v>
      </c>
      <c r="E44" s="13">
        <f>Urbano_2026!O54</f>
        <v>8338.0400000000009</v>
      </c>
    </row>
    <row r="45" spans="1:5" ht="22.35" customHeight="1" x14ac:dyDescent="0.25">
      <c r="A45" s="8" t="s">
        <v>29</v>
      </c>
      <c r="B45" s="6" t="s">
        <v>68</v>
      </c>
      <c r="C45" s="13">
        <f>Urbano_2024!O54</f>
        <v>3930.3945000000003</v>
      </c>
      <c r="D45" s="13">
        <f>Urbano_2025!P54</f>
        <v>8331.67</v>
      </c>
      <c r="E45" s="13">
        <f>Urbano_2026!P54</f>
        <v>8338.0400000000009</v>
      </c>
    </row>
    <row r="46" spans="1:5" ht="15" customHeight="1" x14ac:dyDescent="0.25">
      <c r="A46" s="8" t="s">
        <v>31</v>
      </c>
      <c r="B46" s="6" t="s">
        <v>32</v>
      </c>
      <c r="C46" s="14">
        <f>C44/C43</f>
        <v>0.44759246753572124</v>
      </c>
      <c r="D46" s="14">
        <f>Urbano_2025!M54</f>
        <v>0.99923603148941464</v>
      </c>
      <c r="E46" s="14">
        <f>Urbano_2026!M54</f>
        <v>1</v>
      </c>
    </row>
    <row r="47" spans="1:5" ht="15" customHeight="1" x14ac:dyDescent="0.25">
      <c r="A47" s="8" t="s">
        <v>33</v>
      </c>
      <c r="B47" s="6" t="s">
        <v>34</v>
      </c>
      <c r="C47" s="14">
        <f>C45/C43</f>
        <v>0.44759246753572124</v>
      </c>
      <c r="D47" s="14">
        <f>Urbano_2025!N54</f>
        <v>0.99923603148941464</v>
      </c>
      <c r="E47" s="14">
        <f>Urbano_2026!N54</f>
        <v>1</v>
      </c>
    </row>
    <row r="48" spans="1:5" ht="22.35" customHeight="1" x14ac:dyDescent="0.25">
      <c r="A48" s="8" t="s">
        <v>35</v>
      </c>
      <c r="B48" s="6" t="s">
        <v>36</v>
      </c>
      <c r="C48" s="15">
        <v>0.4476</v>
      </c>
      <c r="D48" s="15">
        <v>0.99299999999999999</v>
      </c>
      <c r="E48" s="15">
        <v>1</v>
      </c>
    </row>
    <row r="49" spans="1:5" ht="15" customHeight="1" x14ac:dyDescent="0.25">
      <c r="A49" s="8" t="s">
        <v>37</v>
      </c>
      <c r="B49" s="6" t="s">
        <v>38</v>
      </c>
      <c r="C49" s="12">
        <v>42</v>
      </c>
      <c r="D49" s="12">
        <v>146</v>
      </c>
      <c r="E49" s="12">
        <v>147</v>
      </c>
    </row>
    <row r="50" spans="1:5" ht="15" customHeight="1" x14ac:dyDescent="0.25">
      <c r="A50" s="8" t="s">
        <v>39</v>
      </c>
      <c r="B50" s="6" t="s">
        <v>40</v>
      </c>
      <c r="C50" s="11">
        <f>49*3</f>
        <v>147</v>
      </c>
      <c r="D50" s="12">
        <v>147</v>
      </c>
      <c r="E50" s="12">
        <v>147</v>
      </c>
    </row>
    <row r="51" spans="1:5" ht="15" customHeight="1" x14ac:dyDescent="0.25">
      <c r="A51" s="8" t="s">
        <v>41</v>
      </c>
      <c r="B51" s="6" t="s">
        <v>42</v>
      </c>
      <c r="C51" s="14">
        <f>C49/C50</f>
        <v>0.2857142857142857</v>
      </c>
      <c r="D51" s="14">
        <f>D49/D50</f>
        <v>0.99319727891156462</v>
      </c>
      <c r="E51" s="14">
        <f>E49/E50</f>
        <v>1</v>
      </c>
    </row>
    <row r="52" spans="1:5" ht="15" customHeight="1" x14ac:dyDescent="0.25">
      <c r="A52" s="8" t="s">
        <v>43</v>
      </c>
      <c r="B52" s="6" t="s">
        <v>44</v>
      </c>
      <c r="C52" s="14">
        <f>C51-C47</f>
        <v>-0.16187818182143554</v>
      </c>
      <c r="D52" s="14">
        <f>D51-D47</f>
        <v>-6.0387525778500262E-3</v>
      </c>
      <c r="E52" s="14">
        <f>E51-E47</f>
        <v>0</v>
      </c>
    </row>
    <row r="53" spans="1:5" ht="15" customHeight="1" x14ac:dyDescent="0.25">
      <c r="A53" s="8" t="s">
        <v>45</v>
      </c>
      <c r="B53" s="6" t="s">
        <v>38</v>
      </c>
      <c r="C53" s="12">
        <v>20</v>
      </c>
      <c r="D53" s="12">
        <v>49</v>
      </c>
      <c r="E53" s="12">
        <v>49</v>
      </c>
    </row>
    <row r="54" spans="1:5" ht="15" customHeight="1" x14ac:dyDescent="0.25">
      <c r="A54" s="8" t="s">
        <v>46</v>
      </c>
      <c r="B54" s="6" t="s">
        <v>38</v>
      </c>
      <c r="C54" s="12">
        <v>16</v>
      </c>
      <c r="D54" s="12">
        <v>49</v>
      </c>
      <c r="E54" s="12">
        <v>49</v>
      </c>
    </row>
    <row r="55" spans="1:5" ht="15" customHeight="1" x14ac:dyDescent="0.25">
      <c r="A55" s="8" t="s">
        <v>47</v>
      </c>
      <c r="B55" s="6" t="s">
        <v>38</v>
      </c>
      <c r="C55" s="12">
        <v>6</v>
      </c>
      <c r="D55" s="12">
        <v>48</v>
      </c>
      <c r="E55" s="12">
        <v>49</v>
      </c>
    </row>
    <row r="56" spans="1:5" ht="15" customHeight="1" x14ac:dyDescent="0.25">
      <c r="A56" s="8" t="s">
        <v>48</v>
      </c>
      <c r="B56" s="6" t="s">
        <v>49</v>
      </c>
      <c r="D56" s="12">
        <v>47</v>
      </c>
      <c r="E56" s="12">
        <v>49</v>
      </c>
    </row>
    <row r="57" spans="1:5" ht="15" customHeight="1" x14ac:dyDescent="0.25">
      <c r="A57" s="8" t="s">
        <v>50</v>
      </c>
      <c r="B57" s="6" t="s">
        <v>49</v>
      </c>
      <c r="D57" s="12">
        <v>49</v>
      </c>
      <c r="E57" s="12">
        <v>49</v>
      </c>
    </row>
    <row r="58" spans="1:5" ht="15" customHeight="1" x14ac:dyDescent="0.25">
      <c r="A58" s="8" t="s">
        <v>51</v>
      </c>
      <c r="B58" s="6" t="s">
        <v>49</v>
      </c>
      <c r="D58" s="12">
        <v>42</v>
      </c>
      <c r="E58" s="12">
        <v>49</v>
      </c>
    </row>
    <row r="59" spans="1:5" ht="22.35" customHeight="1" x14ac:dyDescent="0.25">
      <c r="A59" s="8" t="s">
        <v>52</v>
      </c>
      <c r="B59" s="6" t="s">
        <v>53</v>
      </c>
      <c r="C59" s="11">
        <f>Urbano_2024!I54</f>
        <v>20</v>
      </c>
      <c r="D59" s="11">
        <f>Urbano_2025!I54</f>
        <v>49</v>
      </c>
      <c r="E59" s="11">
        <f>Urbano_2026!I54</f>
        <v>49</v>
      </c>
    </row>
    <row r="60" spans="1:5" ht="22.35" customHeight="1" x14ac:dyDescent="0.25">
      <c r="A60" s="8" t="s">
        <v>54</v>
      </c>
      <c r="B60" s="6" t="s">
        <v>53</v>
      </c>
      <c r="C60" s="11">
        <f>Urbano_2024!J54</f>
        <v>16</v>
      </c>
      <c r="D60" s="11">
        <f>Urbano_2025!J54</f>
        <v>49</v>
      </c>
      <c r="E60" s="11">
        <f>Urbano_2026!J54</f>
        <v>49</v>
      </c>
    </row>
    <row r="61" spans="1:5" ht="22.35" customHeight="1" x14ac:dyDescent="0.25">
      <c r="A61" s="8" t="s">
        <v>55</v>
      </c>
      <c r="B61" s="6" t="s">
        <v>53</v>
      </c>
      <c r="C61" s="11">
        <f>Urbano_2024!K54</f>
        <v>6</v>
      </c>
      <c r="D61" s="11">
        <f>Urbano_2025!K54</f>
        <v>48</v>
      </c>
      <c r="E61" s="11">
        <f>Urbano_2026!K54</f>
        <v>49</v>
      </c>
    </row>
    <row r="62" spans="1:5" ht="15" customHeight="1" x14ac:dyDescent="0.25">
      <c r="A62" s="8" t="s">
        <v>69</v>
      </c>
      <c r="B62" s="6" t="s">
        <v>70</v>
      </c>
      <c r="C62" s="13">
        <f>Urbano_2024!R54</f>
        <v>3985.2713797255651</v>
      </c>
    </row>
    <row r="63" spans="1:5" ht="15" customHeight="1" x14ac:dyDescent="0.25">
      <c r="A63" s="8" t="s">
        <v>58</v>
      </c>
      <c r="B63" s="6" t="s">
        <v>71</v>
      </c>
      <c r="C63" s="16">
        <v>0</v>
      </c>
      <c r="D63" s="13">
        <f>Urbano_2025!U54</f>
        <v>0</v>
      </c>
      <c r="E63" s="13">
        <f>Urbano_2026!U54</f>
        <v>4640.3054999999986</v>
      </c>
    </row>
    <row r="64" spans="1:5" ht="22.35" customHeight="1" x14ac:dyDescent="0.25">
      <c r="A64" s="8" t="s">
        <v>72</v>
      </c>
      <c r="B64" s="6" t="s">
        <v>73</v>
      </c>
      <c r="C64" s="12">
        <v>0</v>
      </c>
      <c r="D64" s="12">
        <v>54</v>
      </c>
      <c r="E64" s="12">
        <v>137</v>
      </c>
    </row>
    <row r="66" spans="1:5" ht="15" customHeight="1" x14ac:dyDescent="0.25">
      <c r="A66" s="10" t="s">
        <v>74</v>
      </c>
      <c r="B66" s="10" t="s">
        <v>16</v>
      </c>
      <c r="C66" s="10" t="s">
        <v>17</v>
      </c>
      <c r="D66" s="10" t="s">
        <v>0</v>
      </c>
      <c r="E66" s="10" t="s">
        <v>18</v>
      </c>
    </row>
    <row r="67" spans="1:5" ht="15" customHeight="1" x14ac:dyDescent="0.25">
      <c r="A67" s="8" t="s">
        <v>75</v>
      </c>
      <c r="B67" s="6" t="s">
        <v>76</v>
      </c>
      <c r="C67" s="17">
        <f>Rural_2024!H62+C43</f>
        <v>3498681.1799999997</v>
      </c>
      <c r="D67" s="13">
        <f>Rural_2025!H70+Urbano_2025!H54</f>
        <v>4402059.1199999992</v>
      </c>
      <c r="E67" s="13">
        <f>Rural_2026!H70+Urbano_2026!H54</f>
        <v>4402059.1199999992</v>
      </c>
    </row>
    <row r="68" spans="1:5" ht="15" customHeight="1" x14ac:dyDescent="0.25">
      <c r="A68" s="8" t="s">
        <v>77</v>
      </c>
      <c r="B68" s="18"/>
      <c r="C68" s="13">
        <f>Rural_2024!O62+Urbano_2024!O54</f>
        <v>549634.46399999992</v>
      </c>
      <c r="D68" s="13">
        <f>Rural_2025!O70+Urbano_2025!O54</f>
        <v>1774659.38</v>
      </c>
      <c r="E68" s="13">
        <f>Rural_2026!O70+Urbano_2026!O54</f>
        <v>2610167.946</v>
      </c>
    </row>
    <row r="69" spans="1:5" ht="15" customHeight="1" x14ac:dyDescent="0.25">
      <c r="A69" s="8" t="s">
        <v>78</v>
      </c>
      <c r="B69" s="18"/>
      <c r="C69" s="13">
        <f>Rural_2024!O62+Urbano_2024!O54</f>
        <v>549634.46399999992</v>
      </c>
      <c r="D69" s="13">
        <f>Rural_2025!P70+Urbano_2025!P54</f>
        <v>3671752.8279999993</v>
      </c>
      <c r="E69" s="13">
        <f>Rural_2026!P70+Urbano_2026!P54</f>
        <v>2840545.32</v>
      </c>
    </row>
    <row r="70" spans="1:5" ht="15" customHeight="1" x14ac:dyDescent="0.25">
      <c r="A70" s="8" t="s">
        <v>79</v>
      </c>
      <c r="B70" s="18"/>
      <c r="C70" s="14">
        <f>C68/C67</f>
        <v>0.15709761356420593</v>
      </c>
      <c r="D70" s="14">
        <f>D68/D67</f>
        <v>0.40314301367220173</v>
      </c>
      <c r="E70" s="14">
        <f>E68/E67</f>
        <v>0.59294250141738225</v>
      </c>
    </row>
    <row r="71" spans="1:5" ht="15" customHeight="1" x14ac:dyDescent="0.25">
      <c r="A71" s="8" t="s">
        <v>80</v>
      </c>
      <c r="B71" s="18"/>
      <c r="C71" s="14">
        <f>C69/C67</f>
        <v>0.15709761356420593</v>
      </c>
      <c r="D71" s="14">
        <f>D69/D67</f>
        <v>0.83409893595431761</v>
      </c>
      <c r="E71" s="14">
        <f>E69/E67</f>
        <v>0.64527650414654136</v>
      </c>
    </row>
    <row r="72" spans="1:5" ht="22.35" customHeight="1" x14ac:dyDescent="0.25">
      <c r="A72" s="8" t="s">
        <v>81</v>
      </c>
      <c r="B72" s="6" t="s">
        <v>82</v>
      </c>
      <c r="E72" s="13">
        <f>SUMIF(Rural_2026!A5:A69,"05234",Rural_2026!F5:F69)+SUMIF(Rural_2026!A5:A69,"05284",Rural_2026!F5:F69)+SUMIF(Rural_2026!A5:A69,"05480",Rural_2026!F5:F69)+SUMIF(Rural_2026!A5:A69,"05790",Rural_2026!F5:F69)+SUMIF(Rural_2026!A5:A69,"05837",Rural_2026!F5:F69)+SUMIF(Rural_2026!A5:A69,"05854",Rural_2026!F5:F69)+SUMIF(Rural_2026!A5:A69,"05120",Rural_2026!F5:F69)+SUMIF(Rural_2026!A5:A69,"05361",Rural_2026!F5:F69)+SUMIF(Rural_2026!A5:A69,"05475",Rural_2026!F5:F69)+SUMIF(Rural_2026!A5:A69,"05873",Rural_2026!F5:F69)</f>
        <v>1544966.5</v>
      </c>
    </row>
    <row r="73" spans="1:5" ht="22.35" customHeight="1" x14ac:dyDescent="0.25">
      <c r="A73" s="8" t="s">
        <v>83</v>
      </c>
      <c r="B73" s="6" t="s">
        <v>84</v>
      </c>
      <c r="E73" s="14">
        <f>E72/Rural_2026!H70</f>
        <v>0.3516305363653171</v>
      </c>
    </row>
    <row r="74" spans="1:5" ht="15" customHeight="1" x14ac:dyDescent="0.25">
      <c r="A74" s="8" t="s">
        <v>85</v>
      </c>
      <c r="B74" s="6" t="s">
        <v>86</v>
      </c>
      <c r="E74" s="14">
        <f>1-E73</f>
        <v>0.64836946363468284</v>
      </c>
    </row>
    <row r="76" spans="1:5" ht="15" customHeight="1" x14ac:dyDescent="0.25">
      <c r="A76" s="10" t="s">
        <v>87</v>
      </c>
      <c r="B76" s="10" t="s">
        <v>16</v>
      </c>
      <c r="C76" s="10" t="s">
        <v>17</v>
      </c>
      <c r="D76" s="10" t="s">
        <v>0</v>
      </c>
      <c r="E76" s="10" t="s">
        <v>18</v>
      </c>
    </row>
    <row r="77" spans="1:5" ht="22.35" customHeight="1" x14ac:dyDescent="0.25">
      <c r="A77" s="8" t="s">
        <v>88</v>
      </c>
      <c r="B77" s="6" t="s">
        <v>89</v>
      </c>
      <c r="C77" s="19">
        <v>44432931516</v>
      </c>
      <c r="D77" s="19">
        <v>54790721144</v>
      </c>
      <c r="E77" s="19">
        <v>54790721144</v>
      </c>
    </row>
    <row r="78" spans="1:5" ht="22.35" customHeight="1" x14ac:dyDescent="0.25">
      <c r="A78" s="8" t="s">
        <v>90</v>
      </c>
      <c r="B78" s="6" t="s">
        <v>91</v>
      </c>
      <c r="C78" s="19">
        <v>12285608470</v>
      </c>
      <c r="D78" s="19">
        <v>36428798537</v>
      </c>
      <c r="E78" s="19">
        <v>41957078791</v>
      </c>
    </row>
    <row r="79" spans="1:5" ht="15" customHeight="1" x14ac:dyDescent="0.25">
      <c r="A79" s="8" t="s">
        <v>92</v>
      </c>
      <c r="B79" s="6" t="s">
        <v>93</v>
      </c>
      <c r="C79" s="14">
        <f>C78/C77</f>
        <v>0.27649781481503272</v>
      </c>
      <c r="D79" s="14">
        <f>D78/D77</f>
        <v>0.66487167491843147</v>
      </c>
      <c r="E79" s="14">
        <f>E78/E77</f>
        <v>0.76576978574034738</v>
      </c>
    </row>
    <row r="80" spans="1:5" ht="15" customHeight="1" x14ac:dyDescent="0.25">
      <c r="A80" s="8" t="s">
        <v>94</v>
      </c>
      <c r="B80" s="18"/>
      <c r="C80" s="12">
        <v>4</v>
      </c>
      <c r="D80" s="12">
        <v>14</v>
      </c>
      <c r="E80" s="12">
        <v>19</v>
      </c>
    </row>
  </sheetData>
  <mergeCells count="1"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"/>
  <sheetViews>
    <sheetView zoomScaleNormal="100" workbookViewId="0">
      <pane xSplit="2" ySplit="4" topLeftCell="P47" activePane="bottomRight" state="frozen"/>
      <selection pane="topRight" activeCell="C1" sqref="C1"/>
      <selection pane="bottomLeft" activeCell="A5" sqref="A5"/>
      <selection pane="bottomRight" activeCell="S7" sqref="S7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5" width="10" style="4" customWidth="1"/>
    <col min="6" max="8" width="14" style="4" customWidth="1"/>
    <col min="9" max="19" width="13" style="4" customWidth="1"/>
    <col min="20" max="20" width="16" style="4" customWidth="1"/>
    <col min="21" max="21" width="18.42578125" style="2" customWidth="1"/>
    <col min="22" max="27" width="24" style="2" customWidth="1"/>
  </cols>
  <sheetData>
    <row r="1" spans="1:27" ht="15" customHeight="1" x14ac:dyDescent="0.25">
      <c r="A1" s="5" t="s">
        <v>95</v>
      </c>
    </row>
    <row r="2" spans="1:27" ht="15" customHeight="1" x14ac:dyDescent="0.25">
      <c r="A2" s="6" t="s">
        <v>96</v>
      </c>
    </row>
    <row r="4" spans="1:27" ht="51.75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101</v>
      </c>
      <c r="F4" s="20" t="s">
        <v>102</v>
      </c>
      <c r="G4" s="20" t="s">
        <v>103</v>
      </c>
      <c r="H4" s="20" t="s">
        <v>104</v>
      </c>
      <c r="I4" s="20" t="s">
        <v>105</v>
      </c>
      <c r="J4" s="20" t="s">
        <v>106</v>
      </c>
      <c r="K4" s="20" t="s">
        <v>107</v>
      </c>
      <c r="L4" s="20" t="s">
        <v>108</v>
      </c>
      <c r="M4" s="20" t="s">
        <v>109</v>
      </c>
      <c r="N4" s="20" t="s">
        <v>110</v>
      </c>
      <c r="O4" s="20" t="s">
        <v>111</v>
      </c>
      <c r="P4" s="20" t="s">
        <v>112</v>
      </c>
      <c r="Q4" s="20" t="s">
        <v>113</v>
      </c>
      <c r="R4" s="20" t="s">
        <v>114</v>
      </c>
      <c r="S4" s="20" t="s">
        <v>115</v>
      </c>
      <c r="T4" s="20" t="s">
        <v>116</v>
      </c>
      <c r="U4" s="20" t="s">
        <v>117</v>
      </c>
      <c r="V4" s="20" t="s">
        <v>118</v>
      </c>
      <c r="W4" s="20" t="s">
        <v>119</v>
      </c>
      <c r="X4" s="20" t="s">
        <v>120</v>
      </c>
      <c r="Y4" s="20" t="s">
        <v>121</v>
      </c>
      <c r="Z4" s="20" t="s">
        <v>122</v>
      </c>
      <c r="AA4" s="20" t="s">
        <v>123</v>
      </c>
    </row>
    <row r="5" spans="1:27" ht="15" customHeight="1" x14ac:dyDescent="0.25">
      <c r="A5" s="8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16">
        <v>24405</v>
      </c>
      <c r="G5" s="16">
        <v>24404.89</v>
      </c>
      <c r="H5" s="13">
        <f t="shared" ref="H5:H36" si="0">IF(G5="",F5,G5)</f>
        <v>24404.89</v>
      </c>
      <c r="I5" s="21">
        <v>1</v>
      </c>
      <c r="J5" s="21">
        <v>1</v>
      </c>
      <c r="K5" s="21">
        <v>0</v>
      </c>
      <c r="L5" s="15">
        <v>7.0000000000000001E-3</v>
      </c>
      <c r="M5" s="15">
        <v>6.3E-3</v>
      </c>
      <c r="N5" s="14">
        <f>I5*Resumen!$C$6+J5*Resumen!$C$7+K5*Resumen!$C$8</f>
        <v>0.9</v>
      </c>
      <c r="O5" s="13">
        <f t="shared" ref="O5:O36" si="1">H5*N5</f>
        <v>21964.401000000002</v>
      </c>
      <c r="P5" s="13">
        <f t="shared" ref="P5:P36" si="2">H5-O5</f>
        <v>2440.4889999999978</v>
      </c>
      <c r="Q5" s="14">
        <f t="shared" ref="Q5:Q36" si="3">IF(L5&gt;0,MIN(1,M5/L5,IF(K5=0,N5,1)),0)</f>
        <v>0.9</v>
      </c>
      <c r="R5" s="13">
        <f t="shared" ref="R5:R36" si="4">H5*Q5</f>
        <v>21964.401000000002</v>
      </c>
      <c r="S5" s="13">
        <f t="shared" ref="S5:S36" si="5">IF(N5&gt;0,H5,0)</f>
        <v>24404.89</v>
      </c>
      <c r="T5" s="8" t="str">
        <f t="shared" ref="T5:T36" si="6">IF(N5&gt;0,"Con entregas","Sin entregas")</f>
        <v>Con entregas</v>
      </c>
      <c r="U5" s="14">
        <f>I5*Resumen!$C$6+J5*Resumen!$C$7+K5*Resumen!$C$9</f>
        <v>0.9</v>
      </c>
      <c r="V5" s="13">
        <f t="shared" ref="V5:V36" si="7">H5*U5</f>
        <v>21964.401000000002</v>
      </c>
      <c r="W5" s="21">
        <f t="shared" ref="W5:W36" si="8">IF(COUNTIF(I5:K5,1)&gt;0,1,0)</f>
        <v>1</v>
      </c>
      <c r="X5" s="14">
        <f t="shared" ref="X5:X36" si="9">COUNTIF(I5:K5,1)/3</f>
        <v>0.66666666666666663</v>
      </c>
      <c r="Y5" s="14">
        <f t="shared" ref="Y5:Y36" si="10">N5</f>
        <v>0.9</v>
      </c>
      <c r="Z5" s="14">
        <f t="shared" ref="Z5:Z36" si="11">Y5-U5</f>
        <v>0</v>
      </c>
      <c r="AA5" s="28" t="s">
        <v>129</v>
      </c>
    </row>
    <row r="6" spans="1:27" ht="15" customHeight="1" x14ac:dyDescent="0.25">
      <c r="A6" s="8" t="s">
        <v>130</v>
      </c>
      <c r="B6" s="8" t="s">
        <v>131</v>
      </c>
      <c r="C6" s="8" t="s">
        <v>126</v>
      </c>
      <c r="D6" s="8" t="s">
        <v>127</v>
      </c>
      <c r="E6" s="8" t="s">
        <v>128</v>
      </c>
      <c r="F6" s="16">
        <v>20260</v>
      </c>
      <c r="H6" s="13">
        <f t="shared" si="0"/>
        <v>20260</v>
      </c>
      <c r="I6" s="21">
        <v>0</v>
      </c>
      <c r="J6" s="21">
        <v>0</v>
      </c>
      <c r="K6" s="21">
        <v>0</v>
      </c>
      <c r="N6" s="14">
        <f>I6*Resumen!$C$6+J6*Resumen!$C$7+K6*Resumen!$C$8</f>
        <v>0</v>
      </c>
      <c r="O6" s="13">
        <f t="shared" si="1"/>
        <v>0</v>
      </c>
      <c r="P6" s="13">
        <f t="shared" si="2"/>
        <v>20260</v>
      </c>
      <c r="Q6" s="14">
        <f t="shared" si="3"/>
        <v>0</v>
      </c>
      <c r="R6" s="13">
        <f t="shared" si="4"/>
        <v>0</v>
      </c>
      <c r="S6" s="13">
        <f t="shared" si="5"/>
        <v>0</v>
      </c>
      <c r="T6" s="8" t="str">
        <f t="shared" si="6"/>
        <v>Sin entregas</v>
      </c>
      <c r="U6" s="14">
        <f>I6*Resumen!$C$6+J6*Resumen!$C$7+K6*Resumen!$C$9</f>
        <v>0</v>
      </c>
      <c r="V6" s="13">
        <f t="shared" si="7"/>
        <v>0</v>
      </c>
      <c r="W6" s="21">
        <f t="shared" si="8"/>
        <v>0</v>
      </c>
      <c r="X6" s="14">
        <f t="shared" si="9"/>
        <v>0</v>
      </c>
      <c r="Y6" s="14">
        <f t="shared" si="10"/>
        <v>0</v>
      </c>
      <c r="Z6" s="14">
        <f t="shared" si="11"/>
        <v>0</v>
      </c>
      <c r="AA6" s="28" t="s">
        <v>129</v>
      </c>
    </row>
    <row r="7" spans="1:27" ht="15" customHeight="1" x14ac:dyDescent="0.25">
      <c r="A7" s="8" t="s">
        <v>132</v>
      </c>
      <c r="B7" s="8" t="s">
        <v>133</v>
      </c>
      <c r="C7" s="8" t="s">
        <v>126</v>
      </c>
      <c r="D7" s="8" t="s">
        <v>127</v>
      </c>
      <c r="E7" s="8" t="s">
        <v>128</v>
      </c>
      <c r="F7" s="16">
        <v>72395</v>
      </c>
      <c r="G7" s="16">
        <v>72394.570000000007</v>
      </c>
      <c r="H7" s="13">
        <f t="shared" si="0"/>
        <v>72394.570000000007</v>
      </c>
      <c r="I7" s="21">
        <v>1</v>
      </c>
      <c r="J7" s="21">
        <v>1</v>
      </c>
      <c r="K7" s="21">
        <v>0</v>
      </c>
      <c r="L7" s="15">
        <v>2.07E-2</v>
      </c>
      <c r="M7" s="15">
        <v>1.8700000000000001E-2</v>
      </c>
      <c r="N7" s="14">
        <f>I7*Resumen!$C$6+J7*Resumen!$C$7+K7*Resumen!$C$8</f>
        <v>0.9</v>
      </c>
      <c r="O7" s="13">
        <f t="shared" si="1"/>
        <v>65155.113000000005</v>
      </c>
      <c r="P7" s="13">
        <f t="shared" si="2"/>
        <v>7239.4570000000022</v>
      </c>
      <c r="Q7" s="14">
        <f t="shared" si="3"/>
        <v>0.9</v>
      </c>
      <c r="R7" s="13">
        <f t="shared" si="4"/>
        <v>65155.113000000005</v>
      </c>
      <c r="S7" s="13">
        <f t="shared" si="5"/>
        <v>72394.570000000007</v>
      </c>
      <c r="T7" s="8" t="str">
        <f t="shared" si="6"/>
        <v>Con entregas</v>
      </c>
      <c r="U7" s="14">
        <f>I7*Resumen!$C$6+J7*Resumen!$C$7+K7*Resumen!$C$9</f>
        <v>0.9</v>
      </c>
      <c r="V7" s="13">
        <f t="shared" si="7"/>
        <v>65155.113000000005</v>
      </c>
      <c r="W7" s="21">
        <f t="shared" si="8"/>
        <v>1</v>
      </c>
      <c r="X7" s="14">
        <f t="shared" si="9"/>
        <v>0.66666666666666663</v>
      </c>
      <c r="Y7" s="14">
        <f t="shared" si="10"/>
        <v>0.9</v>
      </c>
      <c r="Z7" s="14">
        <f t="shared" si="11"/>
        <v>0</v>
      </c>
      <c r="AA7" s="28" t="s">
        <v>129</v>
      </c>
    </row>
    <row r="8" spans="1:27" ht="15" customHeight="1" x14ac:dyDescent="0.25">
      <c r="A8" s="8" t="s">
        <v>134</v>
      </c>
      <c r="B8" s="8" t="s">
        <v>135</v>
      </c>
      <c r="C8" s="8" t="s">
        <v>126</v>
      </c>
      <c r="D8" s="8" t="s">
        <v>127</v>
      </c>
      <c r="E8" s="8" t="s">
        <v>128</v>
      </c>
      <c r="F8" s="16">
        <v>35717</v>
      </c>
      <c r="H8" s="13">
        <f t="shared" si="0"/>
        <v>35717</v>
      </c>
      <c r="I8" s="21">
        <v>0</v>
      </c>
      <c r="J8" s="21">
        <v>0</v>
      </c>
      <c r="K8" s="21">
        <v>0</v>
      </c>
      <c r="N8" s="14">
        <f>I8*Resumen!$C$6+J8*Resumen!$C$7+K8*Resumen!$C$8</f>
        <v>0</v>
      </c>
      <c r="O8" s="13">
        <f t="shared" si="1"/>
        <v>0</v>
      </c>
      <c r="P8" s="13">
        <f t="shared" si="2"/>
        <v>35717</v>
      </c>
      <c r="Q8" s="14">
        <f t="shared" si="3"/>
        <v>0</v>
      </c>
      <c r="R8" s="13">
        <f t="shared" si="4"/>
        <v>0</v>
      </c>
      <c r="S8" s="13">
        <f t="shared" si="5"/>
        <v>0</v>
      </c>
      <c r="T8" s="8" t="str">
        <f t="shared" si="6"/>
        <v>Sin entregas</v>
      </c>
      <c r="U8" s="14">
        <f>I8*Resumen!$C$6+J8*Resumen!$C$7+K8*Resumen!$C$9</f>
        <v>0</v>
      </c>
      <c r="V8" s="13">
        <f t="shared" si="7"/>
        <v>0</v>
      </c>
      <c r="W8" s="21">
        <f t="shared" si="8"/>
        <v>0</v>
      </c>
      <c r="X8" s="14">
        <f t="shared" si="9"/>
        <v>0</v>
      </c>
      <c r="Y8" s="14">
        <f t="shared" si="10"/>
        <v>0</v>
      </c>
      <c r="Z8" s="14">
        <f t="shared" si="11"/>
        <v>0</v>
      </c>
      <c r="AA8" s="28" t="s">
        <v>129</v>
      </c>
    </row>
    <row r="9" spans="1:27" ht="15" customHeight="1" x14ac:dyDescent="0.25">
      <c r="A9" s="8" t="s">
        <v>136</v>
      </c>
      <c r="B9" s="8" t="s">
        <v>137</v>
      </c>
      <c r="C9" s="8" t="s">
        <v>138</v>
      </c>
      <c r="D9" s="8" t="s">
        <v>139</v>
      </c>
      <c r="E9" s="8" t="s">
        <v>128</v>
      </c>
      <c r="F9" s="16">
        <v>33207</v>
      </c>
      <c r="H9" s="13">
        <f t="shared" si="0"/>
        <v>33207</v>
      </c>
      <c r="I9" s="21">
        <v>0</v>
      </c>
      <c r="J9" s="21">
        <v>0</v>
      </c>
      <c r="K9" s="21">
        <v>0</v>
      </c>
      <c r="N9" s="14">
        <f>I9*Resumen!$C$6+J9*Resumen!$C$7+K9*Resumen!$C$8</f>
        <v>0</v>
      </c>
      <c r="O9" s="13">
        <f t="shared" si="1"/>
        <v>0</v>
      </c>
      <c r="P9" s="13">
        <f t="shared" si="2"/>
        <v>33207</v>
      </c>
      <c r="Q9" s="14">
        <f t="shared" si="3"/>
        <v>0</v>
      </c>
      <c r="R9" s="13">
        <f t="shared" si="4"/>
        <v>0</v>
      </c>
      <c r="S9" s="13">
        <f t="shared" si="5"/>
        <v>0</v>
      </c>
      <c r="T9" s="8" t="str">
        <f t="shared" si="6"/>
        <v>Sin entregas</v>
      </c>
      <c r="U9" s="14">
        <f>I9*Resumen!$C$6+J9*Resumen!$C$7+K9*Resumen!$C$9</f>
        <v>0</v>
      </c>
      <c r="V9" s="13">
        <f t="shared" si="7"/>
        <v>0</v>
      </c>
      <c r="W9" s="21">
        <f t="shared" si="8"/>
        <v>0</v>
      </c>
      <c r="X9" s="14">
        <f t="shared" si="9"/>
        <v>0</v>
      </c>
      <c r="Y9" s="14">
        <f t="shared" si="10"/>
        <v>0</v>
      </c>
      <c r="Z9" s="14">
        <f t="shared" si="11"/>
        <v>0</v>
      </c>
      <c r="AA9" s="28" t="s">
        <v>129</v>
      </c>
    </row>
    <row r="10" spans="1:27" ht="15" customHeight="1" x14ac:dyDescent="0.25">
      <c r="A10" s="8" t="s">
        <v>140</v>
      </c>
      <c r="B10" s="8" t="s">
        <v>141</v>
      </c>
      <c r="C10" s="8" t="s">
        <v>126</v>
      </c>
      <c r="D10" s="8" t="s">
        <v>142</v>
      </c>
      <c r="E10" s="8" t="s">
        <v>128</v>
      </c>
      <c r="F10" s="16">
        <v>24702</v>
      </c>
      <c r="H10" s="13">
        <f t="shared" si="0"/>
        <v>24702</v>
      </c>
      <c r="I10" s="21">
        <v>0</v>
      </c>
      <c r="J10" s="21">
        <v>0</v>
      </c>
      <c r="K10" s="21">
        <v>0</v>
      </c>
      <c r="N10" s="14">
        <f>I10*Resumen!$C$6+J10*Resumen!$C$7+K10*Resumen!$C$8</f>
        <v>0</v>
      </c>
      <c r="O10" s="13">
        <f t="shared" si="1"/>
        <v>0</v>
      </c>
      <c r="P10" s="13">
        <f t="shared" si="2"/>
        <v>24702</v>
      </c>
      <c r="Q10" s="14">
        <f t="shared" si="3"/>
        <v>0</v>
      </c>
      <c r="R10" s="13">
        <f t="shared" si="4"/>
        <v>0</v>
      </c>
      <c r="S10" s="13">
        <f t="shared" si="5"/>
        <v>0</v>
      </c>
      <c r="T10" s="8" t="str">
        <f t="shared" si="6"/>
        <v>Sin entregas</v>
      </c>
      <c r="U10" s="14">
        <f>I10*Resumen!$C$6+J10*Resumen!$C$7+K10*Resumen!$C$9</f>
        <v>0</v>
      </c>
      <c r="V10" s="13">
        <f t="shared" si="7"/>
        <v>0</v>
      </c>
      <c r="W10" s="21">
        <f t="shared" si="8"/>
        <v>0</v>
      </c>
      <c r="X10" s="14">
        <f t="shared" si="9"/>
        <v>0</v>
      </c>
      <c r="Y10" s="14">
        <f t="shared" si="10"/>
        <v>0</v>
      </c>
      <c r="Z10" s="14">
        <f t="shared" si="11"/>
        <v>0</v>
      </c>
      <c r="AA10" s="28" t="s">
        <v>129</v>
      </c>
    </row>
    <row r="11" spans="1:27" ht="15" customHeight="1" x14ac:dyDescent="0.25">
      <c r="A11" s="8" t="s">
        <v>143</v>
      </c>
      <c r="B11" s="8" t="s">
        <v>144</v>
      </c>
      <c r="C11" s="8" t="s">
        <v>126</v>
      </c>
      <c r="D11" s="8" t="s">
        <v>142</v>
      </c>
      <c r="E11" s="8" t="s">
        <v>128</v>
      </c>
      <c r="F11" s="16">
        <v>31797</v>
      </c>
      <c r="H11" s="13">
        <f t="shared" si="0"/>
        <v>31797</v>
      </c>
      <c r="I11" s="21">
        <v>0</v>
      </c>
      <c r="J11" s="21">
        <v>0</v>
      </c>
      <c r="K11" s="21">
        <v>0</v>
      </c>
      <c r="N11" s="14">
        <f>I11*Resumen!$C$6+J11*Resumen!$C$7+K11*Resumen!$C$8</f>
        <v>0</v>
      </c>
      <c r="O11" s="13">
        <f t="shared" si="1"/>
        <v>0</v>
      </c>
      <c r="P11" s="13">
        <f t="shared" si="2"/>
        <v>31797</v>
      </c>
      <c r="Q11" s="14">
        <f t="shared" si="3"/>
        <v>0</v>
      </c>
      <c r="R11" s="13">
        <f t="shared" si="4"/>
        <v>0</v>
      </c>
      <c r="S11" s="13">
        <f t="shared" si="5"/>
        <v>0</v>
      </c>
      <c r="T11" s="8" t="str">
        <f t="shared" si="6"/>
        <v>Sin entregas</v>
      </c>
      <c r="U11" s="14">
        <f>I11*Resumen!$C$6+J11*Resumen!$C$7+K11*Resumen!$C$9</f>
        <v>0</v>
      </c>
      <c r="V11" s="13">
        <f t="shared" si="7"/>
        <v>0</v>
      </c>
      <c r="W11" s="21">
        <f t="shared" si="8"/>
        <v>0</v>
      </c>
      <c r="X11" s="14">
        <f t="shared" si="9"/>
        <v>0</v>
      </c>
      <c r="Y11" s="14">
        <f t="shared" si="10"/>
        <v>0</v>
      </c>
      <c r="Z11" s="14">
        <f t="shared" si="11"/>
        <v>0</v>
      </c>
      <c r="AA11" s="28" t="s">
        <v>129</v>
      </c>
    </row>
    <row r="12" spans="1:27" ht="15" customHeight="1" x14ac:dyDescent="0.25">
      <c r="A12" s="8" t="s">
        <v>145</v>
      </c>
      <c r="B12" s="8" t="s">
        <v>146</v>
      </c>
      <c r="C12" s="8" t="s">
        <v>126</v>
      </c>
      <c r="D12" s="8" t="s">
        <v>142</v>
      </c>
      <c r="E12" s="8" t="s">
        <v>128</v>
      </c>
      <c r="F12" s="16">
        <v>135439</v>
      </c>
      <c r="H12" s="13">
        <f t="shared" si="0"/>
        <v>135439</v>
      </c>
      <c r="I12" s="21">
        <v>0</v>
      </c>
      <c r="J12" s="21">
        <v>0</v>
      </c>
      <c r="K12" s="21">
        <v>0</v>
      </c>
      <c r="N12" s="14">
        <f>I12*Resumen!$C$6+J12*Resumen!$C$7+K12*Resumen!$C$8</f>
        <v>0</v>
      </c>
      <c r="O12" s="13">
        <f t="shared" si="1"/>
        <v>0</v>
      </c>
      <c r="P12" s="13">
        <f t="shared" si="2"/>
        <v>135439</v>
      </c>
      <c r="Q12" s="14">
        <f t="shared" si="3"/>
        <v>0</v>
      </c>
      <c r="R12" s="13">
        <f t="shared" si="4"/>
        <v>0</v>
      </c>
      <c r="S12" s="13">
        <f t="shared" si="5"/>
        <v>0</v>
      </c>
      <c r="T12" s="8" t="str">
        <f t="shared" si="6"/>
        <v>Sin entregas</v>
      </c>
      <c r="U12" s="14">
        <f>I12*Resumen!$C$6+J12*Resumen!$C$7+K12*Resumen!$C$9</f>
        <v>0</v>
      </c>
      <c r="V12" s="13">
        <f t="shared" si="7"/>
        <v>0</v>
      </c>
      <c r="W12" s="21">
        <f t="shared" si="8"/>
        <v>0</v>
      </c>
      <c r="X12" s="14">
        <f t="shared" si="9"/>
        <v>0</v>
      </c>
      <c r="Y12" s="14">
        <f t="shared" si="10"/>
        <v>0</v>
      </c>
      <c r="Z12" s="14">
        <f t="shared" si="11"/>
        <v>0</v>
      </c>
      <c r="AA12" s="28" t="s">
        <v>129</v>
      </c>
    </row>
    <row r="13" spans="1:27" ht="15" customHeight="1" x14ac:dyDescent="0.25">
      <c r="A13" s="8" t="s">
        <v>147</v>
      </c>
      <c r="B13" s="8" t="s">
        <v>148</v>
      </c>
      <c r="C13" s="8" t="s">
        <v>149</v>
      </c>
      <c r="D13" s="8" t="s">
        <v>150</v>
      </c>
      <c r="E13" s="8" t="s">
        <v>128</v>
      </c>
      <c r="F13" s="16">
        <v>26573</v>
      </c>
      <c r="H13" s="13">
        <f t="shared" si="0"/>
        <v>26573</v>
      </c>
      <c r="I13" s="21">
        <v>0</v>
      </c>
      <c r="J13" s="21">
        <v>0</v>
      </c>
      <c r="K13" s="21">
        <v>0</v>
      </c>
      <c r="N13" s="14">
        <f>I13*Resumen!$C$6+J13*Resumen!$C$7+K13*Resumen!$C$8</f>
        <v>0</v>
      </c>
      <c r="O13" s="13">
        <f t="shared" si="1"/>
        <v>0</v>
      </c>
      <c r="P13" s="13">
        <f t="shared" si="2"/>
        <v>26573</v>
      </c>
      <c r="Q13" s="14">
        <f t="shared" si="3"/>
        <v>0</v>
      </c>
      <c r="R13" s="13">
        <f t="shared" si="4"/>
        <v>0</v>
      </c>
      <c r="S13" s="13">
        <f t="shared" si="5"/>
        <v>0</v>
      </c>
      <c r="T13" s="8" t="str">
        <f t="shared" si="6"/>
        <v>Sin entregas</v>
      </c>
      <c r="U13" s="14">
        <f>I13*Resumen!$C$6+J13*Resumen!$C$7+K13*Resumen!$C$9</f>
        <v>0</v>
      </c>
      <c r="V13" s="13">
        <f t="shared" si="7"/>
        <v>0</v>
      </c>
      <c r="W13" s="21">
        <f t="shared" si="8"/>
        <v>0</v>
      </c>
      <c r="X13" s="14">
        <f t="shared" si="9"/>
        <v>0</v>
      </c>
      <c r="Y13" s="14">
        <f t="shared" si="10"/>
        <v>0</v>
      </c>
      <c r="Z13" s="14">
        <f t="shared" si="11"/>
        <v>0</v>
      </c>
      <c r="AA13" s="28" t="s">
        <v>129</v>
      </c>
    </row>
    <row r="14" spans="1:27" ht="15" customHeight="1" x14ac:dyDescent="0.25">
      <c r="A14" s="8" t="s">
        <v>151</v>
      </c>
      <c r="B14" s="8" t="s">
        <v>152</v>
      </c>
      <c r="C14" s="8" t="s">
        <v>149</v>
      </c>
      <c r="D14" s="8" t="s">
        <v>150</v>
      </c>
      <c r="E14" s="8" t="s">
        <v>128</v>
      </c>
      <c r="F14" s="16">
        <v>17256</v>
      </c>
      <c r="H14" s="13">
        <f t="shared" si="0"/>
        <v>17256</v>
      </c>
      <c r="I14" s="21">
        <v>0</v>
      </c>
      <c r="J14" s="21">
        <v>0</v>
      </c>
      <c r="K14" s="21">
        <v>0</v>
      </c>
      <c r="N14" s="14">
        <f>I14*Resumen!$C$6+J14*Resumen!$C$7+K14*Resumen!$C$8</f>
        <v>0</v>
      </c>
      <c r="O14" s="13">
        <f t="shared" si="1"/>
        <v>0</v>
      </c>
      <c r="P14" s="13">
        <f t="shared" si="2"/>
        <v>17256</v>
      </c>
      <c r="Q14" s="14">
        <f t="shared" si="3"/>
        <v>0</v>
      </c>
      <c r="R14" s="13">
        <f t="shared" si="4"/>
        <v>0</v>
      </c>
      <c r="S14" s="13">
        <f t="shared" si="5"/>
        <v>0</v>
      </c>
      <c r="T14" s="8" t="str">
        <f t="shared" si="6"/>
        <v>Sin entregas</v>
      </c>
      <c r="U14" s="14">
        <f>I14*Resumen!$C$6+J14*Resumen!$C$7+K14*Resumen!$C$9</f>
        <v>0</v>
      </c>
      <c r="V14" s="13">
        <f t="shared" si="7"/>
        <v>0</v>
      </c>
      <c r="W14" s="21">
        <f t="shared" si="8"/>
        <v>0</v>
      </c>
      <c r="X14" s="14">
        <f t="shared" si="9"/>
        <v>0</v>
      </c>
      <c r="Y14" s="14">
        <f t="shared" si="10"/>
        <v>0</v>
      </c>
      <c r="Z14" s="14">
        <f t="shared" si="11"/>
        <v>0</v>
      </c>
      <c r="AA14" s="28" t="s">
        <v>129</v>
      </c>
    </row>
    <row r="15" spans="1:27" ht="15" customHeight="1" x14ac:dyDescent="0.25">
      <c r="A15" s="8" t="s">
        <v>153</v>
      </c>
      <c r="B15" s="8" t="s">
        <v>154</v>
      </c>
      <c r="C15" s="8" t="s">
        <v>149</v>
      </c>
      <c r="D15" s="8" t="s">
        <v>150</v>
      </c>
      <c r="E15" s="8" t="s">
        <v>128</v>
      </c>
      <c r="F15" s="16">
        <v>53607</v>
      </c>
      <c r="G15" s="16">
        <v>53606.96</v>
      </c>
      <c r="H15" s="13">
        <f t="shared" si="0"/>
        <v>53606.96</v>
      </c>
      <c r="I15" s="21">
        <v>1</v>
      </c>
      <c r="J15" s="21">
        <v>1</v>
      </c>
      <c r="K15" s="21">
        <v>0</v>
      </c>
      <c r="L15" s="15">
        <v>1.54E-2</v>
      </c>
      <c r="M15" s="15">
        <v>1.38E-2</v>
      </c>
      <c r="N15" s="14">
        <f>I15*Resumen!$C$6+J15*Resumen!$C$7+K15*Resumen!$C$8</f>
        <v>0.9</v>
      </c>
      <c r="O15" s="13">
        <f t="shared" si="1"/>
        <v>48246.264000000003</v>
      </c>
      <c r="P15" s="13">
        <f t="shared" si="2"/>
        <v>5360.6959999999963</v>
      </c>
      <c r="Q15" s="14">
        <f t="shared" si="3"/>
        <v>0.89610389610389607</v>
      </c>
      <c r="R15" s="13">
        <f t="shared" si="4"/>
        <v>48037.405714285713</v>
      </c>
      <c r="S15" s="13">
        <f t="shared" si="5"/>
        <v>53606.96</v>
      </c>
      <c r="T15" s="8" t="str">
        <f t="shared" si="6"/>
        <v>Con entregas</v>
      </c>
      <c r="U15" s="14">
        <f>I15*Resumen!$C$6+J15*Resumen!$C$7+K15*Resumen!$C$9</f>
        <v>0.9</v>
      </c>
      <c r="V15" s="13">
        <f t="shared" si="7"/>
        <v>48246.264000000003</v>
      </c>
      <c r="W15" s="21">
        <f t="shared" si="8"/>
        <v>1</v>
      </c>
      <c r="X15" s="14">
        <f t="shared" si="9"/>
        <v>0.66666666666666663</v>
      </c>
      <c r="Y15" s="14">
        <f t="shared" si="10"/>
        <v>0.9</v>
      </c>
      <c r="Z15" s="14">
        <f t="shared" si="11"/>
        <v>0</v>
      </c>
      <c r="AA15" s="28" t="s">
        <v>129</v>
      </c>
    </row>
    <row r="16" spans="1:27" ht="15" customHeight="1" x14ac:dyDescent="0.25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128</v>
      </c>
      <c r="F16" s="16">
        <v>94340</v>
      </c>
      <c r="H16" s="13">
        <f t="shared" si="0"/>
        <v>94340</v>
      </c>
      <c r="I16" s="21">
        <v>0</v>
      </c>
      <c r="J16" s="21">
        <v>0</v>
      </c>
      <c r="K16" s="21">
        <v>0</v>
      </c>
      <c r="N16" s="14">
        <f>I16*Resumen!$C$6+J16*Resumen!$C$7+K16*Resumen!$C$8</f>
        <v>0</v>
      </c>
      <c r="O16" s="13">
        <f t="shared" si="1"/>
        <v>0</v>
      </c>
      <c r="P16" s="13">
        <f t="shared" si="2"/>
        <v>94340</v>
      </c>
      <c r="Q16" s="14">
        <f t="shared" si="3"/>
        <v>0</v>
      </c>
      <c r="R16" s="13">
        <f t="shared" si="4"/>
        <v>0</v>
      </c>
      <c r="S16" s="13">
        <f t="shared" si="5"/>
        <v>0</v>
      </c>
      <c r="T16" s="8" t="str">
        <f t="shared" si="6"/>
        <v>Sin entregas</v>
      </c>
      <c r="U16" s="14">
        <f>I16*Resumen!$C$6+J16*Resumen!$C$7+K16*Resumen!$C$9</f>
        <v>0</v>
      </c>
      <c r="V16" s="13">
        <f t="shared" si="7"/>
        <v>0</v>
      </c>
      <c r="W16" s="21">
        <f t="shared" si="8"/>
        <v>0</v>
      </c>
      <c r="X16" s="14">
        <f t="shared" si="9"/>
        <v>0</v>
      </c>
      <c r="Y16" s="14">
        <f t="shared" si="10"/>
        <v>0</v>
      </c>
      <c r="Z16" s="14">
        <f t="shared" si="11"/>
        <v>0</v>
      </c>
      <c r="AA16" s="28" t="s">
        <v>129</v>
      </c>
    </row>
    <row r="17" spans="1:27" ht="15" customHeight="1" x14ac:dyDescent="0.25">
      <c r="A17" s="8" t="s">
        <v>159</v>
      </c>
      <c r="B17" s="8" t="s">
        <v>160</v>
      </c>
      <c r="C17" s="8" t="s">
        <v>126</v>
      </c>
      <c r="D17" s="8" t="s">
        <v>161</v>
      </c>
      <c r="E17" s="8" t="s">
        <v>128</v>
      </c>
      <c r="F17" s="16">
        <v>50695</v>
      </c>
      <c r="G17" s="16">
        <v>50695.28</v>
      </c>
      <c r="H17" s="13">
        <f t="shared" si="0"/>
        <v>50695.28</v>
      </c>
      <c r="I17" s="21">
        <v>0</v>
      </c>
      <c r="J17" s="21">
        <v>1</v>
      </c>
      <c r="K17" s="21">
        <v>0</v>
      </c>
      <c r="L17" s="15">
        <v>1.4500000000000001E-2</v>
      </c>
      <c r="M17" s="15">
        <v>5.1999999999999998E-3</v>
      </c>
      <c r="N17" s="14">
        <f>I17*Resumen!$C$6+J17*Resumen!$C$7+K17*Resumen!$C$8</f>
        <v>0.45</v>
      </c>
      <c r="O17" s="13">
        <f t="shared" si="1"/>
        <v>22812.876</v>
      </c>
      <c r="P17" s="13">
        <f t="shared" si="2"/>
        <v>27882.403999999999</v>
      </c>
      <c r="Q17" s="14">
        <f t="shared" si="3"/>
        <v>0.35862068965517235</v>
      </c>
      <c r="R17" s="13">
        <f t="shared" si="4"/>
        <v>18180.376275862065</v>
      </c>
      <c r="S17" s="13">
        <f t="shared" si="5"/>
        <v>50695.28</v>
      </c>
      <c r="T17" s="8" t="str">
        <f t="shared" si="6"/>
        <v>Con entregas</v>
      </c>
      <c r="U17" s="14">
        <f>I17*Resumen!$C$6+J17*Resumen!$C$7+K17*Resumen!$C$9</f>
        <v>0.45</v>
      </c>
      <c r="V17" s="13">
        <f t="shared" si="7"/>
        <v>22812.876</v>
      </c>
      <c r="W17" s="21">
        <f t="shared" si="8"/>
        <v>1</v>
      </c>
      <c r="X17" s="14">
        <f t="shared" si="9"/>
        <v>0.33333333333333331</v>
      </c>
      <c r="Y17" s="14">
        <f t="shared" si="10"/>
        <v>0.45</v>
      </c>
      <c r="Z17" s="14">
        <f t="shared" si="11"/>
        <v>0</v>
      </c>
      <c r="AA17" s="28" t="s">
        <v>129</v>
      </c>
    </row>
    <row r="18" spans="1:27" ht="15" customHeight="1" x14ac:dyDescent="0.25">
      <c r="A18" s="8" t="s">
        <v>162</v>
      </c>
      <c r="B18" s="8" t="s">
        <v>163</v>
      </c>
      <c r="C18" s="8" t="s">
        <v>149</v>
      </c>
      <c r="D18" s="8" t="s">
        <v>161</v>
      </c>
      <c r="E18" s="8" t="s">
        <v>128</v>
      </c>
      <c r="F18" s="16">
        <v>29715</v>
      </c>
      <c r="H18" s="13">
        <f t="shared" si="0"/>
        <v>29715</v>
      </c>
      <c r="I18" s="21">
        <v>0</v>
      </c>
      <c r="J18" s="21">
        <v>0</v>
      </c>
      <c r="K18" s="21">
        <v>0</v>
      </c>
      <c r="N18" s="14">
        <f>I18*Resumen!$C$6+J18*Resumen!$C$7+K18*Resumen!$C$8</f>
        <v>0</v>
      </c>
      <c r="O18" s="13">
        <f t="shared" si="1"/>
        <v>0</v>
      </c>
      <c r="P18" s="13">
        <f t="shared" si="2"/>
        <v>29715</v>
      </c>
      <c r="Q18" s="14">
        <f t="shared" si="3"/>
        <v>0</v>
      </c>
      <c r="R18" s="13">
        <f t="shared" si="4"/>
        <v>0</v>
      </c>
      <c r="S18" s="13">
        <f t="shared" si="5"/>
        <v>0</v>
      </c>
      <c r="T18" s="8" t="str">
        <f t="shared" si="6"/>
        <v>Sin entregas</v>
      </c>
      <c r="U18" s="14">
        <f>I18*Resumen!$C$6+J18*Resumen!$C$7+K18*Resumen!$C$9</f>
        <v>0</v>
      </c>
      <c r="V18" s="13">
        <f t="shared" si="7"/>
        <v>0</v>
      </c>
      <c r="W18" s="21">
        <f t="shared" si="8"/>
        <v>0</v>
      </c>
      <c r="X18" s="14">
        <f t="shared" si="9"/>
        <v>0</v>
      </c>
      <c r="Y18" s="14">
        <f t="shared" si="10"/>
        <v>0</v>
      </c>
      <c r="Z18" s="14">
        <f t="shared" si="11"/>
        <v>0</v>
      </c>
      <c r="AA18" s="28" t="s">
        <v>129</v>
      </c>
    </row>
    <row r="19" spans="1:27" ht="15" customHeight="1" x14ac:dyDescent="0.25">
      <c r="A19" s="8" t="s">
        <v>164</v>
      </c>
      <c r="B19" s="8" t="s">
        <v>1</v>
      </c>
      <c r="C19" s="8" t="s">
        <v>157</v>
      </c>
      <c r="D19" s="8" t="s">
        <v>161</v>
      </c>
      <c r="E19" s="8" t="s">
        <v>128</v>
      </c>
      <c r="F19" s="16">
        <v>120835</v>
      </c>
      <c r="G19" s="16">
        <v>120834.62</v>
      </c>
      <c r="H19" s="13">
        <f t="shared" si="0"/>
        <v>120834.62</v>
      </c>
      <c r="I19" s="21">
        <v>1</v>
      </c>
      <c r="J19" s="21">
        <v>0</v>
      </c>
      <c r="K19" s="21">
        <v>0</v>
      </c>
      <c r="L19" s="15">
        <v>3.4599999999999999E-2</v>
      </c>
      <c r="M19" s="15">
        <v>1.5599999999999999E-2</v>
      </c>
      <c r="N19" s="14">
        <f>I19*Resumen!$C$6+J19*Resumen!$C$7+K19*Resumen!$C$8</f>
        <v>0.45</v>
      </c>
      <c r="O19" s="13">
        <f t="shared" si="1"/>
        <v>54375.578999999998</v>
      </c>
      <c r="P19" s="13">
        <f t="shared" si="2"/>
        <v>66459.040999999997</v>
      </c>
      <c r="Q19" s="14">
        <f t="shared" si="3"/>
        <v>0.45</v>
      </c>
      <c r="R19" s="13">
        <f t="shared" si="4"/>
        <v>54375.578999999998</v>
      </c>
      <c r="S19" s="13">
        <f t="shared" si="5"/>
        <v>120834.62</v>
      </c>
      <c r="T19" s="8" t="str">
        <f t="shared" si="6"/>
        <v>Con entregas</v>
      </c>
      <c r="U19" s="14">
        <f>I19*Resumen!$C$6+J19*Resumen!$C$7+K19*Resumen!$C$9</f>
        <v>0.45</v>
      </c>
      <c r="V19" s="13">
        <f t="shared" si="7"/>
        <v>54375.578999999998</v>
      </c>
      <c r="W19" s="21">
        <f t="shared" si="8"/>
        <v>1</v>
      </c>
      <c r="X19" s="14">
        <f t="shared" si="9"/>
        <v>0.33333333333333331</v>
      </c>
      <c r="Y19" s="14">
        <f t="shared" si="10"/>
        <v>0.45</v>
      </c>
      <c r="Z19" s="14">
        <f t="shared" si="11"/>
        <v>0</v>
      </c>
      <c r="AA19" s="28" t="s">
        <v>129</v>
      </c>
    </row>
    <row r="20" spans="1:27" ht="15" customHeight="1" x14ac:dyDescent="0.25">
      <c r="A20" s="8" t="s">
        <v>165</v>
      </c>
      <c r="B20" s="8" t="s">
        <v>166</v>
      </c>
      <c r="C20" s="8" t="s">
        <v>149</v>
      </c>
      <c r="D20" s="8" t="s">
        <v>161</v>
      </c>
      <c r="E20" s="8" t="s">
        <v>128</v>
      </c>
      <c r="F20" s="16">
        <v>11050</v>
      </c>
      <c r="G20" s="16">
        <v>11050.26</v>
      </c>
      <c r="H20" s="13">
        <f t="shared" si="0"/>
        <v>11050.26</v>
      </c>
      <c r="I20" s="21">
        <v>0</v>
      </c>
      <c r="J20" s="21">
        <v>1</v>
      </c>
      <c r="K20" s="21">
        <v>0</v>
      </c>
      <c r="L20" s="15">
        <v>3.2000000000000002E-3</v>
      </c>
      <c r="M20" s="15">
        <v>1E-3</v>
      </c>
      <c r="N20" s="14">
        <f>I20*Resumen!$C$6+J20*Resumen!$C$7+K20*Resumen!$C$8</f>
        <v>0.45</v>
      </c>
      <c r="O20" s="13">
        <f t="shared" si="1"/>
        <v>4972.6170000000002</v>
      </c>
      <c r="P20" s="13">
        <f t="shared" si="2"/>
        <v>6077.643</v>
      </c>
      <c r="Q20" s="14">
        <f t="shared" si="3"/>
        <v>0.3125</v>
      </c>
      <c r="R20" s="13">
        <f t="shared" si="4"/>
        <v>3453.2062500000002</v>
      </c>
      <c r="S20" s="13">
        <f t="shared" si="5"/>
        <v>11050.26</v>
      </c>
      <c r="T20" s="8" t="str">
        <f t="shared" si="6"/>
        <v>Con entregas</v>
      </c>
      <c r="U20" s="14">
        <f>I20*Resumen!$C$6+J20*Resumen!$C$7+K20*Resumen!$C$9</f>
        <v>0.45</v>
      </c>
      <c r="V20" s="13">
        <f t="shared" si="7"/>
        <v>4972.6170000000002</v>
      </c>
      <c r="W20" s="21">
        <f t="shared" si="8"/>
        <v>1</v>
      </c>
      <c r="X20" s="14">
        <f t="shared" si="9"/>
        <v>0.33333333333333331</v>
      </c>
      <c r="Y20" s="14">
        <f t="shared" si="10"/>
        <v>0.45</v>
      </c>
      <c r="Z20" s="14">
        <f t="shared" si="11"/>
        <v>0</v>
      </c>
      <c r="AA20" s="28" t="s">
        <v>129</v>
      </c>
    </row>
    <row r="21" spans="1:27" ht="15" customHeight="1" x14ac:dyDescent="0.25">
      <c r="A21" s="8" t="s">
        <v>167</v>
      </c>
      <c r="B21" s="8" t="s">
        <v>168</v>
      </c>
      <c r="C21" s="8" t="s">
        <v>138</v>
      </c>
      <c r="D21" s="8" t="s">
        <v>161</v>
      </c>
      <c r="E21" s="8" t="s">
        <v>128</v>
      </c>
      <c r="F21" s="16">
        <v>30466</v>
      </c>
      <c r="H21" s="13">
        <f t="shared" si="0"/>
        <v>30466</v>
      </c>
      <c r="I21" s="21">
        <v>0</v>
      </c>
      <c r="J21" s="21">
        <v>0</v>
      </c>
      <c r="K21" s="21">
        <v>0</v>
      </c>
      <c r="N21" s="14">
        <f>I21*Resumen!$C$6+J21*Resumen!$C$7+K21*Resumen!$C$8</f>
        <v>0</v>
      </c>
      <c r="O21" s="13">
        <f t="shared" si="1"/>
        <v>0</v>
      </c>
      <c r="P21" s="13">
        <f t="shared" si="2"/>
        <v>30466</v>
      </c>
      <c r="Q21" s="14">
        <f t="shared" si="3"/>
        <v>0</v>
      </c>
      <c r="R21" s="13">
        <f t="shared" si="4"/>
        <v>0</v>
      </c>
      <c r="S21" s="13">
        <f t="shared" si="5"/>
        <v>0</v>
      </c>
      <c r="T21" s="8" t="str">
        <f t="shared" si="6"/>
        <v>Sin entregas</v>
      </c>
      <c r="U21" s="14">
        <f>I21*Resumen!$C$6+J21*Resumen!$C$7+K21*Resumen!$C$9</f>
        <v>0</v>
      </c>
      <c r="V21" s="13">
        <f t="shared" si="7"/>
        <v>0</v>
      </c>
      <c r="W21" s="21">
        <f t="shared" si="8"/>
        <v>0</v>
      </c>
      <c r="X21" s="14">
        <f t="shared" si="9"/>
        <v>0</v>
      </c>
      <c r="Y21" s="14">
        <f t="shared" si="10"/>
        <v>0</v>
      </c>
      <c r="Z21" s="14">
        <f t="shared" si="11"/>
        <v>0</v>
      </c>
      <c r="AA21" s="28" t="s">
        <v>129</v>
      </c>
    </row>
    <row r="22" spans="1:27" ht="15" customHeight="1" x14ac:dyDescent="0.25">
      <c r="A22" s="8" t="s">
        <v>169</v>
      </c>
      <c r="B22" s="8" t="s">
        <v>170</v>
      </c>
      <c r="C22" s="8" t="s">
        <v>138</v>
      </c>
      <c r="D22" s="8" t="s">
        <v>161</v>
      </c>
      <c r="E22" s="8" t="s">
        <v>128</v>
      </c>
      <c r="F22" s="16">
        <v>37624</v>
      </c>
      <c r="H22" s="13">
        <f t="shared" si="0"/>
        <v>37624</v>
      </c>
      <c r="I22" s="21">
        <v>0</v>
      </c>
      <c r="J22" s="21">
        <v>0</v>
      </c>
      <c r="K22" s="21">
        <v>0</v>
      </c>
      <c r="N22" s="14">
        <f>I22*Resumen!$C$6+J22*Resumen!$C$7+K22*Resumen!$C$8</f>
        <v>0</v>
      </c>
      <c r="O22" s="13">
        <f t="shared" si="1"/>
        <v>0</v>
      </c>
      <c r="P22" s="13">
        <f t="shared" si="2"/>
        <v>37624</v>
      </c>
      <c r="Q22" s="14">
        <f t="shared" si="3"/>
        <v>0</v>
      </c>
      <c r="R22" s="13">
        <f t="shared" si="4"/>
        <v>0</v>
      </c>
      <c r="S22" s="13">
        <f t="shared" si="5"/>
        <v>0</v>
      </c>
      <c r="T22" s="8" t="str">
        <f t="shared" si="6"/>
        <v>Sin entregas</v>
      </c>
      <c r="U22" s="14">
        <f>I22*Resumen!$C$6+J22*Resumen!$C$7+K22*Resumen!$C$9</f>
        <v>0</v>
      </c>
      <c r="V22" s="13">
        <f t="shared" si="7"/>
        <v>0</v>
      </c>
      <c r="W22" s="21">
        <f t="shared" si="8"/>
        <v>0</v>
      </c>
      <c r="X22" s="14">
        <f t="shared" si="9"/>
        <v>0</v>
      </c>
      <c r="Y22" s="14">
        <f t="shared" si="10"/>
        <v>0</v>
      </c>
      <c r="Z22" s="14">
        <f t="shared" si="11"/>
        <v>0</v>
      </c>
      <c r="AA22" s="28" t="s">
        <v>129</v>
      </c>
    </row>
    <row r="23" spans="1:27" ht="15" customHeight="1" x14ac:dyDescent="0.25">
      <c r="A23" s="8" t="s">
        <v>171</v>
      </c>
      <c r="B23" s="8" t="s">
        <v>172</v>
      </c>
      <c r="C23" s="8" t="s">
        <v>149</v>
      </c>
      <c r="D23" s="8" t="s">
        <v>161</v>
      </c>
      <c r="E23" s="8" t="s">
        <v>128</v>
      </c>
      <c r="F23" s="16">
        <v>35519</v>
      </c>
      <c r="H23" s="13">
        <f t="shared" si="0"/>
        <v>35519</v>
      </c>
      <c r="I23" s="21">
        <v>0</v>
      </c>
      <c r="J23" s="21">
        <v>0</v>
      </c>
      <c r="K23" s="21">
        <v>0</v>
      </c>
      <c r="N23" s="14">
        <f>I23*Resumen!$C$6+J23*Resumen!$C$7+K23*Resumen!$C$8</f>
        <v>0</v>
      </c>
      <c r="O23" s="13">
        <f t="shared" si="1"/>
        <v>0</v>
      </c>
      <c r="P23" s="13">
        <f t="shared" si="2"/>
        <v>35519</v>
      </c>
      <c r="Q23" s="14">
        <f t="shared" si="3"/>
        <v>0</v>
      </c>
      <c r="R23" s="13">
        <f t="shared" si="4"/>
        <v>0</v>
      </c>
      <c r="S23" s="13">
        <f t="shared" si="5"/>
        <v>0</v>
      </c>
      <c r="T23" s="8" t="str">
        <f t="shared" si="6"/>
        <v>Sin entregas</v>
      </c>
      <c r="U23" s="14">
        <f>I23*Resumen!$C$6+J23*Resumen!$C$7+K23*Resumen!$C$9</f>
        <v>0</v>
      </c>
      <c r="V23" s="13">
        <f t="shared" si="7"/>
        <v>0</v>
      </c>
      <c r="W23" s="21">
        <f t="shared" si="8"/>
        <v>0</v>
      </c>
      <c r="X23" s="14">
        <f t="shared" si="9"/>
        <v>0</v>
      </c>
      <c r="Y23" s="14">
        <f t="shared" si="10"/>
        <v>0</v>
      </c>
      <c r="Z23" s="14">
        <f t="shared" si="11"/>
        <v>0</v>
      </c>
      <c r="AA23" s="28" t="s">
        <v>129</v>
      </c>
    </row>
    <row r="24" spans="1:27" ht="15" customHeight="1" x14ac:dyDescent="0.25">
      <c r="A24" s="8" t="s">
        <v>173</v>
      </c>
      <c r="B24" s="8" t="s">
        <v>174</v>
      </c>
      <c r="C24" s="8" t="s">
        <v>138</v>
      </c>
      <c r="D24" s="8" t="s">
        <v>161</v>
      </c>
      <c r="E24" s="8" t="s">
        <v>128</v>
      </c>
      <c r="F24" s="16">
        <v>23206</v>
      </c>
      <c r="H24" s="13">
        <f t="shared" si="0"/>
        <v>23206</v>
      </c>
      <c r="I24" s="21">
        <v>0</v>
      </c>
      <c r="J24" s="21">
        <v>0</v>
      </c>
      <c r="K24" s="21">
        <v>0</v>
      </c>
      <c r="N24" s="14">
        <f>I24*Resumen!$C$6+J24*Resumen!$C$7+K24*Resumen!$C$8</f>
        <v>0</v>
      </c>
      <c r="O24" s="13">
        <f t="shared" si="1"/>
        <v>0</v>
      </c>
      <c r="P24" s="13">
        <f t="shared" si="2"/>
        <v>23206</v>
      </c>
      <c r="Q24" s="14">
        <f t="shared" si="3"/>
        <v>0</v>
      </c>
      <c r="R24" s="13">
        <f t="shared" si="4"/>
        <v>0</v>
      </c>
      <c r="S24" s="13">
        <f t="shared" si="5"/>
        <v>0</v>
      </c>
      <c r="T24" s="8" t="str">
        <f t="shared" si="6"/>
        <v>Sin entregas</v>
      </c>
      <c r="U24" s="14">
        <f>I24*Resumen!$C$6+J24*Resumen!$C$7+K24*Resumen!$C$9</f>
        <v>0</v>
      </c>
      <c r="V24" s="13">
        <f t="shared" si="7"/>
        <v>0</v>
      </c>
      <c r="W24" s="21">
        <f t="shared" si="8"/>
        <v>0</v>
      </c>
      <c r="X24" s="14">
        <f t="shared" si="9"/>
        <v>0</v>
      </c>
      <c r="Y24" s="14">
        <f t="shared" si="10"/>
        <v>0</v>
      </c>
      <c r="Z24" s="14">
        <f t="shared" si="11"/>
        <v>0</v>
      </c>
      <c r="AA24" s="28" t="s">
        <v>129</v>
      </c>
    </row>
    <row r="25" spans="1:27" ht="15" customHeight="1" x14ac:dyDescent="0.25">
      <c r="A25" s="8" t="s">
        <v>175</v>
      </c>
      <c r="B25" s="8" t="s">
        <v>176</v>
      </c>
      <c r="C25" s="8" t="s">
        <v>177</v>
      </c>
      <c r="D25" s="8" t="s">
        <v>161</v>
      </c>
      <c r="E25" s="8" t="s">
        <v>128</v>
      </c>
      <c r="F25" s="16">
        <v>26258</v>
      </c>
      <c r="H25" s="13">
        <f t="shared" si="0"/>
        <v>26258</v>
      </c>
      <c r="I25" s="21">
        <v>0</v>
      </c>
      <c r="J25" s="21">
        <v>0</v>
      </c>
      <c r="K25" s="21">
        <v>0</v>
      </c>
      <c r="N25" s="14">
        <f>I25*Resumen!$C$6+J25*Resumen!$C$7+K25*Resumen!$C$8</f>
        <v>0</v>
      </c>
      <c r="O25" s="13">
        <f t="shared" si="1"/>
        <v>0</v>
      </c>
      <c r="P25" s="13">
        <f t="shared" si="2"/>
        <v>26258</v>
      </c>
      <c r="Q25" s="14">
        <f t="shared" si="3"/>
        <v>0</v>
      </c>
      <c r="R25" s="13">
        <f t="shared" si="4"/>
        <v>0</v>
      </c>
      <c r="S25" s="13">
        <f t="shared" si="5"/>
        <v>0</v>
      </c>
      <c r="T25" s="8" t="str">
        <f t="shared" si="6"/>
        <v>Sin entregas</v>
      </c>
      <c r="U25" s="14">
        <f>I25*Resumen!$C$6+J25*Resumen!$C$7+K25*Resumen!$C$9</f>
        <v>0</v>
      </c>
      <c r="V25" s="13">
        <f t="shared" si="7"/>
        <v>0</v>
      </c>
      <c r="W25" s="21">
        <f t="shared" si="8"/>
        <v>0</v>
      </c>
      <c r="X25" s="14">
        <f t="shared" si="9"/>
        <v>0</v>
      </c>
      <c r="Y25" s="14">
        <f t="shared" si="10"/>
        <v>0</v>
      </c>
      <c r="Z25" s="14">
        <f t="shared" si="11"/>
        <v>0</v>
      </c>
      <c r="AA25" s="28" t="s">
        <v>129</v>
      </c>
    </row>
    <row r="26" spans="1:27" ht="15" customHeight="1" x14ac:dyDescent="0.25">
      <c r="A26" s="8" t="s">
        <v>178</v>
      </c>
      <c r="B26" s="8" t="s">
        <v>179</v>
      </c>
      <c r="C26" s="8" t="s">
        <v>180</v>
      </c>
      <c r="D26" s="8" t="s">
        <v>161</v>
      </c>
      <c r="E26" s="8" t="s">
        <v>128</v>
      </c>
      <c r="F26" s="16">
        <v>169909</v>
      </c>
      <c r="H26" s="13">
        <f t="shared" si="0"/>
        <v>169909</v>
      </c>
      <c r="I26" s="21">
        <v>0</v>
      </c>
      <c r="J26" s="21">
        <v>0</v>
      </c>
      <c r="K26" s="21">
        <v>0</v>
      </c>
      <c r="N26" s="14">
        <f>I26*Resumen!$C$6+J26*Resumen!$C$7+K26*Resumen!$C$8</f>
        <v>0</v>
      </c>
      <c r="O26" s="13">
        <f t="shared" si="1"/>
        <v>0</v>
      </c>
      <c r="P26" s="13">
        <f t="shared" si="2"/>
        <v>169909</v>
      </c>
      <c r="Q26" s="14">
        <f t="shared" si="3"/>
        <v>0</v>
      </c>
      <c r="R26" s="13">
        <f t="shared" si="4"/>
        <v>0</v>
      </c>
      <c r="S26" s="13">
        <f t="shared" si="5"/>
        <v>0</v>
      </c>
      <c r="T26" s="8" t="str">
        <f t="shared" si="6"/>
        <v>Sin entregas</v>
      </c>
      <c r="U26" s="14">
        <f>I26*Resumen!$C$6+J26*Resumen!$C$7+K26*Resumen!$C$9</f>
        <v>0</v>
      </c>
      <c r="V26" s="13">
        <f t="shared" si="7"/>
        <v>0</v>
      </c>
      <c r="W26" s="21">
        <f t="shared" si="8"/>
        <v>0</v>
      </c>
      <c r="X26" s="14">
        <f t="shared" si="9"/>
        <v>0</v>
      </c>
      <c r="Y26" s="14">
        <f t="shared" si="10"/>
        <v>0</v>
      </c>
      <c r="Z26" s="14">
        <f t="shared" si="11"/>
        <v>0</v>
      </c>
      <c r="AA26" s="28" t="s">
        <v>129</v>
      </c>
    </row>
    <row r="27" spans="1:27" ht="15" customHeight="1" x14ac:dyDescent="0.25">
      <c r="A27" s="8" t="s">
        <v>181</v>
      </c>
      <c r="B27" s="8" t="s">
        <v>182</v>
      </c>
      <c r="C27" s="8" t="s">
        <v>149</v>
      </c>
      <c r="D27" s="8" t="s">
        <v>161</v>
      </c>
      <c r="E27" s="8" t="s">
        <v>128</v>
      </c>
      <c r="F27" s="16">
        <v>36484</v>
      </c>
      <c r="H27" s="13">
        <f t="shared" si="0"/>
        <v>36484</v>
      </c>
      <c r="I27" s="21">
        <v>0</v>
      </c>
      <c r="J27" s="21">
        <v>0</v>
      </c>
      <c r="K27" s="21">
        <v>0</v>
      </c>
      <c r="N27" s="14">
        <f>I27*Resumen!$C$6+J27*Resumen!$C$7+K27*Resumen!$C$8</f>
        <v>0</v>
      </c>
      <c r="O27" s="13">
        <f t="shared" si="1"/>
        <v>0</v>
      </c>
      <c r="P27" s="13">
        <f t="shared" si="2"/>
        <v>36484</v>
      </c>
      <c r="Q27" s="14">
        <f t="shared" si="3"/>
        <v>0</v>
      </c>
      <c r="R27" s="13">
        <f t="shared" si="4"/>
        <v>0</v>
      </c>
      <c r="S27" s="13">
        <f t="shared" si="5"/>
        <v>0</v>
      </c>
      <c r="T27" s="8" t="str">
        <f t="shared" si="6"/>
        <v>Sin entregas</v>
      </c>
      <c r="U27" s="14">
        <f>I27*Resumen!$C$6+J27*Resumen!$C$7+K27*Resumen!$C$9</f>
        <v>0</v>
      </c>
      <c r="V27" s="13">
        <f t="shared" si="7"/>
        <v>0</v>
      </c>
      <c r="W27" s="21">
        <f t="shared" si="8"/>
        <v>0</v>
      </c>
      <c r="X27" s="14">
        <f t="shared" si="9"/>
        <v>0</v>
      </c>
      <c r="Y27" s="14">
        <f t="shared" si="10"/>
        <v>0</v>
      </c>
      <c r="Z27" s="14">
        <f t="shared" si="11"/>
        <v>0</v>
      </c>
      <c r="AA27" s="28" t="s">
        <v>129</v>
      </c>
    </row>
    <row r="28" spans="1:27" ht="15" customHeight="1" x14ac:dyDescent="0.25">
      <c r="A28" s="8" t="s">
        <v>183</v>
      </c>
      <c r="B28" s="8" t="s">
        <v>184</v>
      </c>
      <c r="C28" s="8" t="s">
        <v>185</v>
      </c>
      <c r="D28" s="8" t="s">
        <v>161</v>
      </c>
      <c r="E28" s="8" t="s">
        <v>128</v>
      </c>
      <c r="F28" s="16">
        <v>76629</v>
      </c>
      <c r="H28" s="13">
        <f t="shared" si="0"/>
        <v>76629</v>
      </c>
      <c r="I28" s="21">
        <v>0</v>
      </c>
      <c r="J28" s="21">
        <v>0</v>
      </c>
      <c r="K28" s="21">
        <v>0</v>
      </c>
      <c r="N28" s="14">
        <f>I28*Resumen!$C$6+J28*Resumen!$C$7+K28*Resumen!$C$8</f>
        <v>0</v>
      </c>
      <c r="O28" s="13">
        <f t="shared" si="1"/>
        <v>0</v>
      </c>
      <c r="P28" s="13">
        <f t="shared" si="2"/>
        <v>76629</v>
      </c>
      <c r="Q28" s="14">
        <f t="shared" si="3"/>
        <v>0</v>
      </c>
      <c r="R28" s="13">
        <f t="shared" si="4"/>
        <v>0</v>
      </c>
      <c r="S28" s="13">
        <f t="shared" si="5"/>
        <v>0</v>
      </c>
      <c r="T28" s="8" t="str">
        <f t="shared" si="6"/>
        <v>Sin entregas</v>
      </c>
      <c r="U28" s="14">
        <f>I28*Resumen!$C$6+J28*Resumen!$C$7+K28*Resumen!$C$9</f>
        <v>0</v>
      </c>
      <c r="V28" s="13">
        <f t="shared" si="7"/>
        <v>0</v>
      </c>
      <c r="W28" s="21">
        <f t="shared" si="8"/>
        <v>0</v>
      </c>
      <c r="X28" s="14">
        <f t="shared" si="9"/>
        <v>0</v>
      </c>
      <c r="Y28" s="14">
        <f t="shared" si="10"/>
        <v>0</v>
      </c>
      <c r="Z28" s="14">
        <f t="shared" si="11"/>
        <v>0</v>
      </c>
      <c r="AA28" s="28" t="s">
        <v>129</v>
      </c>
    </row>
    <row r="29" spans="1:27" ht="15" customHeight="1" x14ac:dyDescent="0.25">
      <c r="A29" s="8" t="s">
        <v>186</v>
      </c>
      <c r="B29" s="8" t="s">
        <v>187</v>
      </c>
      <c r="C29" s="8" t="s">
        <v>157</v>
      </c>
      <c r="D29" s="8" t="s">
        <v>161</v>
      </c>
      <c r="E29" s="8" t="s">
        <v>128</v>
      </c>
      <c r="F29" s="16">
        <v>4691</v>
      </c>
      <c r="G29" s="16">
        <v>4691.49</v>
      </c>
      <c r="H29" s="13">
        <f t="shared" si="0"/>
        <v>4691.49</v>
      </c>
      <c r="I29" s="21">
        <v>1</v>
      </c>
      <c r="J29" s="21">
        <v>1</v>
      </c>
      <c r="K29" s="21">
        <v>0</v>
      </c>
      <c r="L29" s="15">
        <v>1.2999999999999999E-3</v>
      </c>
      <c r="M29" s="15">
        <v>1.1999999999999999E-3</v>
      </c>
      <c r="N29" s="14">
        <f>I29*Resumen!$C$6+J29*Resumen!$C$7+K29*Resumen!$C$8</f>
        <v>0.9</v>
      </c>
      <c r="O29" s="13">
        <f t="shared" si="1"/>
        <v>4222.3410000000003</v>
      </c>
      <c r="P29" s="13">
        <f t="shared" si="2"/>
        <v>469.14899999999943</v>
      </c>
      <c r="Q29" s="14">
        <f t="shared" si="3"/>
        <v>0.9</v>
      </c>
      <c r="R29" s="13">
        <f t="shared" si="4"/>
        <v>4222.3410000000003</v>
      </c>
      <c r="S29" s="13">
        <f t="shared" si="5"/>
        <v>4691.49</v>
      </c>
      <c r="T29" s="8" t="str">
        <f t="shared" si="6"/>
        <v>Con entregas</v>
      </c>
      <c r="U29" s="14">
        <f>I29*Resumen!$C$6+J29*Resumen!$C$7+K29*Resumen!$C$9</f>
        <v>0.9</v>
      </c>
      <c r="V29" s="13">
        <f t="shared" si="7"/>
        <v>4222.3410000000003</v>
      </c>
      <c r="W29" s="21">
        <f t="shared" si="8"/>
        <v>1</v>
      </c>
      <c r="X29" s="14">
        <f t="shared" si="9"/>
        <v>0.66666666666666663</v>
      </c>
      <c r="Y29" s="14">
        <f t="shared" si="10"/>
        <v>0.9</v>
      </c>
      <c r="Z29" s="14">
        <f t="shared" si="11"/>
        <v>0</v>
      </c>
      <c r="AA29" s="28" t="s">
        <v>129</v>
      </c>
    </row>
    <row r="30" spans="1:27" ht="15" customHeight="1" x14ac:dyDescent="0.25">
      <c r="A30" s="8" t="s">
        <v>188</v>
      </c>
      <c r="B30" s="8" t="s">
        <v>189</v>
      </c>
      <c r="C30" s="8" t="s">
        <v>149</v>
      </c>
      <c r="D30" s="8" t="s">
        <v>161</v>
      </c>
      <c r="E30" s="8" t="s">
        <v>128</v>
      </c>
      <c r="F30" s="16">
        <v>195844</v>
      </c>
      <c r="H30" s="13">
        <f t="shared" si="0"/>
        <v>195844</v>
      </c>
      <c r="I30" s="21">
        <v>0</v>
      </c>
      <c r="J30" s="21">
        <v>0</v>
      </c>
      <c r="K30" s="21">
        <v>0</v>
      </c>
      <c r="N30" s="14">
        <f>I30*Resumen!$C$6+J30*Resumen!$C$7+K30*Resumen!$C$8</f>
        <v>0</v>
      </c>
      <c r="O30" s="13">
        <f t="shared" si="1"/>
        <v>0</v>
      </c>
      <c r="P30" s="13">
        <f t="shared" si="2"/>
        <v>195844</v>
      </c>
      <c r="Q30" s="14">
        <f t="shared" si="3"/>
        <v>0</v>
      </c>
      <c r="R30" s="13">
        <f t="shared" si="4"/>
        <v>0</v>
      </c>
      <c r="S30" s="13">
        <f t="shared" si="5"/>
        <v>0</v>
      </c>
      <c r="T30" s="8" t="str">
        <f t="shared" si="6"/>
        <v>Sin entregas</v>
      </c>
      <c r="U30" s="14">
        <f>I30*Resumen!$C$6+J30*Resumen!$C$7+K30*Resumen!$C$9</f>
        <v>0</v>
      </c>
      <c r="V30" s="13">
        <f t="shared" si="7"/>
        <v>0</v>
      </c>
      <c r="W30" s="21">
        <f t="shared" si="8"/>
        <v>0</v>
      </c>
      <c r="X30" s="14">
        <f t="shared" si="9"/>
        <v>0</v>
      </c>
      <c r="Y30" s="14">
        <f t="shared" si="10"/>
        <v>0</v>
      </c>
      <c r="Z30" s="14">
        <f t="shared" si="11"/>
        <v>0</v>
      </c>
      <c r="AA30" s="28" t="s">
        <v>129</v>
      </c>
    </row>
    <row r="31" spans="1:27" ht="15" customHeight="1" x14ac:dyDescent="0.25">
      <c r="A31" s="8" t="s">
        <v>190</v>
      </c>
      <c r="B31" s="8" t="s">
        <v>191</v>
      </c>
      <c r="C31" s="8" t="s">
        <v>149</v>
      </c>
      <c r="D31" s="8" t="s">
        <v>161</v>
      </c>
      <c r="E31" s="8" t="s">
        <v>128</v>
      </c>
      <c r="F31" s="16">
        <v>24687</v>
      </c>
      <c r="H31" s="13">
        <f t="shared" si="0"/>
        <v>24687</v>
      </c>
      <c r="I31" s="21">
        <v>0</v>
      </c>
      <c r="J31" s="21">
        <v>0</v>
      </c>
      <c r="K31" s="21">
        <v>0</v>
      </c>
      <c r="N31" s="14">
        <f>I31*Resumen!$C$6+J31*Resumen!$C$7+K31*Resumen!$C$8</f>
        <v>0</v>
      </c>
      <c r="O31" s="13">
        <f t="shared" si="1"/>
        <v>0</v>
      </c>
      <c r="P31" s="13">
        <f t="shared" si="2"/>
        <v>24687</v>
      </c>
      <c r="Q31" s="14">
        <f t="shared" si="3"/>
        <v>0</v>
      </c>
      <c r="R31" s="13">
        <f t="shared" si="4"/>
        <v>0</v>
      </c>
      <c r="S31" s="13">
        <f t="shared" si="5"/>
        <v>0</v>
      </c>
      <c r="T31" s="8" t="str">
        <f t="shared" si="6"/>
        <v>Sin entregas</v>
      </c>
      <c r="U31" s="14">
        <f>I31*Resumen!$C$6+J31*Resumen!$C$7+K31*Resumen!$C$9</f>
        <v>0</v>
      </c>
      <c r="V31" s="13">
        <f t="shared" si="7"/>
        <v>0</v>
      </c>
      <c r="W31" s="21">
        <f t="shared" si="8"/>
        <v>0</v>
      </c>
      <c r="X31" s="14">
        <f t="shared" si="9"/>
        <v>0</v>
      </c>
      <c r="Y31" s="14">
        <f t="shared" si="10"/>
        <v>0</v>
      </c>
      <c r="Z31" s="14">
        <f t="shared" si="11"/>
        <v>0</v>
      </c>
      <c r="AA31" s="28" t="s">
        <v>129</v>
      </c>
    </row>
    <row r="32" spans="1:27" ht="15" customHeight="1" x14ac:dyDescent="0.25">
      <c r="A32" s="8" t="s">
        <v>192</v>
      </c>
      <c r="B32" s="8" t="s">
        <v>193</v>
      </c>
      <c r="C32" s="8" t="s">
        <v>138</v>
      </c>
      <c r="D32" s="8" t="s">
        <v>161</v>
      </c>
      <c r="E32" s="8" t="s">
        <v>128</v>
      </c>
      <c r="F32" s="16">
        <v>21414</v>
      </c>
      <c r="G32" s="16">
        <v>21413.54</v>
      </c>
      <c r="H32" s="13">
        <f t="shared" si="0"/>
        <v>21413.54</v>
      </c>
      <c r="I32" s="21">
        <v>1</v>
      </c>
      <c r="J32" s="21">
        <v>1</v>
      </c>
      <c r="K32" s="21">
        <v>0</v>
      </c>
      <c r="L32" s="15">
        <v>6.1000000000000004E-3</v>
      </c>
      <c r="M32" s="15">
        <v>3.2000000000000002E-3</v>
      </c>
      <c r="N32" s="14">
        <f>I32*Resumen!$C$6+J32*Resumen!$C$7+K32*Resumen!$C$8</f>
        <v>0.9</v>
      </c>
      <c r="O32" s="13">
        <f t="shared" si="1"/>
        <v>19272.186000000002</v>
      </c>
      <c r="P32" s="13">
        <f t="shared" si="2"/>
        <v>2141.3539999999994</v>
      </c>
      <c r="Q32" s="14">
        <f t="shared" si="3"/>
        <v>0.52459016393442626</v>
      </c>
      <c r="R32" s="13">
        <f t="shared" si="4"/>
        <v>11233.332459016394</v>
      </c>
      <c r="S32" s="13">
        <f t="shared" si="5"/>
        <v>21413.54</v>
      </c>
      <c r="T32" s="8" t="str">
        <f t="shared" si="6"/>
        <v>Con entregas</v>
      </c>
      <c r="U32" s="14">
        <f>I32*Resumen!$C$6+J32*Resumen!$C$7+K32*Resumen!$C$9</f>
        <v>0.9</v>
      </c>
      <c r="V32" s="13">
        <f t="shared" si="7"/>
        <v>19272.186000000002</v>
      </c>
      <c r="W32" s="21">
        <f t="shared" si="8"/>
        <v>1</v>
      </c>
      <c r="X32" s="14">
        <f t="shared" si="9"/>
        <v>0.66666666666666663</v>
      </c>
      <c r="Y32" s="14">
        <f t="shared" si="10"/>
        <v>0.9</v>
      </c>
      <c r="Z32" s="14">
        <f t="shared" si="11"/>
        <v>0</v>
      </c>
      <c r="AA32" s="28" t="s">
        <v>129</v>
      </c>
    </row>
    <row r="33" spans="1:27" ht="15" customHeight="1" x14ac:dyDescent="0.25">
      <c r="A33" s="8" t="s">
        <v>194</v>
      </c>
      <c r="B33" s="8" t="s">
        <v>195</v>
      </c>
      <c r="C33" s="8" t="s">
        <v>149</v>
      </c>
      <c r="D33" s="8" t="s">
        <v>161</v>
      </c>
      <c r="E33" s="8" t="s">
        <v>128</v>
      </c>
      <c r="F33" s="16">
        <v>142539</v>
      </c>
      <c r="H33" s="13">
        <f t="shared" si="0"/>
        <v>142539</v>
      </c>
      <c r="I33" s="21">
        <v>0</v>
      </c>
      <c r="J33" s="21">
        <v>0</v>
      </c>
      <c r="K33" s="21">
        <v>0</v>
      </c>
      <c r="N33" s="14">
        <f>I33*Resumen!$C$6+J33*Resumen!$C$7+K33*Resumen!$C$8</f>
        <v>0</v>
      </c>
      <c r="O33" s="13">
        <f t="shared" si="1"/>
        <v>0</v>
      </c>
      <c r="P33" s="13">
        <f t="shared" si="2"/>
        <v>142539</v>
      </c>
      <c r="Q33" s="14">
        <f t="shared" si="3"/>
        <v>0</v>
      </c>
      <c r="R33" s="13">
        <f t="shared" si="4"/>
        <v>0</v>
      </c>
      <c r="S33" s="13">
        <f t="shared" si="5"/>
        <v>0</v>
      </c>
      <c r="T33" s="8" t="str">
        <f t="shared" si="6"/>
        <v>Sin entregas</v>
      </c>
      <c r="U33" s="14">
        <f>I33*Resumen!$C$6+J33*Resumen!$C$7+K33*Resumen!$C$9</f>
        <v>0</v>
      </c>
      <c r="V33" s="13">
        <f t="shared" si="7"/>
        <v>0</v>
      </c>
      <c r="W33" s="21">
        <f t="shared" si="8"/>
        <v>0</v>
      </c>
      <c r="X33" s="14">
        <f t="shared" si="9"/>
        <v>0</v>
      </c>
      <c r="Y33" s="14">
        <f t="shared" si="10"/>
        <v>0</v>
      </c>
      <c r="Z33" s="14">
        <f t="shared" si="11"/>
        <v>0</v>
      </c>
      <c r="AA33" s="28" t="s">
        <v>129</v>
      </c>
    </row>
    <row r="34" spans="1:27" ht="15" customHeight="1" x14ac:dyDescent="0.25">
      <c r="A34" s="8" t="s">
        <v>196</v>
      </c>
      <c r="B34" s="8" t="s">
        <v>197</v>
      </c>
      <c r="C34" s="8" t="s">
        <v>149</v>
      </c>
      <c r="D34" s="8" t="s">
        <v>161</v>
      </c>
      <c r="E34" s="8" t="s">
        <v>128</v>
      </c>
      <c r="F34" s="16">
        <v>9349</v>
      </c>
      <c r="H34" s="13">
        <f t="shared" si="0"/>
        <v>9349</v>
      </c>
      <c r="I34" s="21">
        <v>0</v>
      </c>
      <c r="J34" s="21">
        <v>0</v>
      </c>
      <c r="K34" s="21">
        <v>0</v>
      </c>
      <c r="N34" s="14">
        <f>I34*Resumen!$C$6+J34*Resumen!$C$7+K34*Resumen!$C$8</f>
        <v>0</v>
      </c>
      <c r="O34" s="13">
        <f t="shared" si="1"/>
        <v>0</v>
      </c>
      <c r="P34" s="13">
        <f t="shared" si="2"/>
        <v>9349</v>
      </c>
      <c r="Q34" s="14">
        <f t="shared" si="3"/>
        <v>0</v>
      </c>
      <c r="R34" s="13">
        <f t="shared" si="4"/>
        <v>0</v>
      </c>
      <c r="S34" s="13">
        <f t="shared" si="5"/>
        <v>0</v>
      </c>
      <c r="T34" s="8" t="str">
        <f t="shared" si="6"/>
        <v>Sin entregas</v>
      </c>
      <c r="U34" s="14">
        <f>I34*Resumen!$C$6+J34*Resumen!$C$7+K34*Resumen!$C$9</f>
        <v>0</v>
      </c>
      <c r="V34" s="13">
        <f t="shared" si="7"/>
        <v>0</v>
      </c>
      <c r="W34" s="21">
        <f t="shared" si="8"/>
        <v>0</v>
      </c>
      <c r="X34" s="14">
        <f t="shared" si="9"/>
        <v>0</v>
      </c>
      <c r="Y34" s="14">
        <f t="shared" si="10"/>
        <v>0</v>
      </c>
      <c r="Z34" s="14">
        <f t="shared" si="11"/>
        <v>0</v>
      </c>
      <c r="AA34" s="28" t="s">
        <v>129</v>
      </c>
    </row>
    <row r="35" spans="1:27" ht="15" customHeight="1" x14ac:dyDescent="0.25">
      <c r="A35" s="8" t="s">
        <v>198</v>
      </c>
      <c r="B35" s="8" t="s">
        <v>199</v>
      </c>
      <c r="C35" s="8" t="s">
        <v>138</v>
      </c>
      <c r="D35" s="8" t="s">
        <v>161</v>
      </c>
      <c r="E35" s="8" t="s">
        <v>128</v>
      </c>
      <c r="F35" s="16">
        <v>11825</v>
      </c>
      <c r="H35" s="13">
        <f t="shared" si="0"/>
        <v>11825</v>
      </c>
      <c r="I35" s="21">
        <v>0</v>
      </c>
      <c r="J35" s="21">
        <v>0</v>
      </c>
      <c r="K35" s="21">
        <v>0</v>
      </c>
      <c r="N35" s="14">
        <f>I35*Resumen!$C$6+J35*Resumen!$C$7+K35*Resumen!$C$8</f>
        <v>0</v>
      </c>
      <c r="O35" s="13">
        <f t="shared" si="1"/>
        <v>0</v>
      </c>
      <c r="P35" s="13">
        <f t="shared" si="2"/>
        <v>11825</v>
      </c>
      <c r="Q35" s="14">
        <f t="shared" si="3"/>
        <v>0</v>
      </c>
      <c r="R35" s="13">
        <f t="shared" si="4"/>
        <v>0</v>
      </c>
      <c r="S35" s="13">
        <f t="shared" si="5"/>
        <v>0</v>
      </c>
      <c r="T35" s="8" t="str">
        <f t="shared" si="6"/>
        <v>Sin entregas</v>
      </c>
      <c r="U35" s="14">
        <f>I35*Resumen!$C$6+J35*Resumen!$C$7+K35*Resumen!$C$9</f>
        <v>0</v>
      </c>
      <c r="V35" s="13">
        <f t="shared" si="7"/>
        <v>0</v>
      </c>
      <c r="W35" s="21">
        <f t="shared" si="8"/>
        <v>0</v>
      </c>
      <c r="X35" s="14">
        <f t="shared" si="9"/>
        <v>0</v>
      </c>
      <c r="Y35" s="14">
        <f t="shared" si="10"/>
        <v>0</v>
      </c>
      <c r="Z35" s="14">
        <f t="shared" si="11"/>
        <v>0</v>
      </c>
      <c r="AA35" s="28" t="s">
        <v>129</v>
      </c>
    </row>
    <row r="36" spans="1:27" ht="15" customHeight="1" x14ac:dyDescent="0.25">
      <c r="A36" s="8" t="s">
        <v>200</v>
      </c>
      <c r="B36" s="8" t="s">
        <v>201</v>
      </c>
      <c r="C36" s="8" t="s">
        <v>149</v>
      </c>
      <c r="D36" s="8" t="s">
        <v>161</v>
      </c>
      <c r="E36" s="8" t="s">
        <v>128</v>
      </c>
      <c r="F36" s="16">
        <v>11493</v>
      </c>
      <c r="H36" s="13">
        <f t="shared" si="0"/>
        <v>11493</v>
      </c>
      <c r="I36" s="21">
        <v>0</v>
      </c>
      <c r="J36" s="21">
        <v>0</v>
      </c>
      <c r="K36" s="21">
        <v>0</v>
      </c>
      <c r="N36" s="14">
        <f>I36*Resumen!$C$6+J36*Resumen!$C$7+K36*Resumen!$C$8</f>
        <v>0</v>
      </c>
      <c r="O36" s="13">
        <f t="shared" si="1"/>
        <v>0</v>
      </c>
      <c r="P36" s="13">
        <f t="shared" si="2"/>
        <v>11493</v>
      </c>
      <c r="Q36" s="14">
        <f t="shared" si="3"/>
        <v>0</v>
      </c>
      <c r="R36" s="13">
        <f t="shared" si="4"/>
        <v>0</v>
      </c>
      <c r="S36" s="13">
        <f t="shared" si="5"/>
        <v>0</v>
      </c>
      <c r="T36" s="8" t="str">
        <f t="shared" si="6"/>
        <v>Sin entregas</v>
      </c>
      <c r="U36" s="14">
        <f>I36*Resumen!$C$6+J36*Resumen!$C$7+K36*Resumen!$C$9</f>
        <v>0</v>
      </c>
      <c r="V36" s="13">
        <f t="shared" si="7"/>
        <v>0</v>
      </c>
      <c r="W36" s="21">
        <f t="shared" si="8"/>
        <v>0</v>
      </c>
      <c r="X36" s="14">
        <f t="shared" si="9"/>
        <v>0</v>
      </c>
      <c r="Y36" s="14">
        <f t="shared" si="10"/>
        <v>0</v>
      </c>
      <c r="Z36" s="14">
        <f t="shared" si="11"/>
        <v>0</v>
      </c>
      <c r="AA36" s="28" t="s">
        <v>129</v>
      </c>
    </row>
    <row r="37" spans="1:27" ht="15" customHeight="1" x14ac:dyDescent="0.25">
      <c r="A37" s="8" t="s">
        <v>202</v>
      </c>
      <c r="B37" s="8" t="s">
        <v>203</v>
      </c>
      <c r="C37" s="8" t="s">
        <v>149</v>
      </c>
      <c r="D37" s="8" t="s">
        <v>161</v>
      </c>
      <c r="E37" s="8" t="s">
        <v>128</v>
      </c>
      <c r="F37" s="16">
        <v>21639</v>
      </c>
      <c r="H37" s="13">
        <f t="shared" ref="H37:H68" si="12">IF(G37="",F37,G37)</f>
        <v>21639</v>
      </c>
      <c r="I37" s="21">
        <v>0</v>
      </c>
      <c r="J37" s="21">
        <v>0</v>
      </c>
      <c r="K37" s="21">
        <v>0</v>
      </c>
      <c r="N37" s="14">
        <f>I37*Resumen!$C$6+J37*Resumen!$C$7+K37*Resumen!$C$8</f>
        <v>0</v>
      </c>
      <c r="O37" s="13">
        <f t="shared" ref="O37:O68" si="13">H37*N37</f>
        <v>0</v>
      </c>
      <c r="P37" s="13">
        <f t="shared" ref="P37:P68" si="14">H37-O37</f>
        <v>21639</v>
      </c>
      <c r="Q37" s="14">
        <f t="shared" ref="Q37:Q61" si="15">IF(L37&gt;0,MIN(1,M37/L37,IF(K37=0,N37,1)),0)</f>
        <v>0</v>
      </c>
      <c r="R37" s="13">
        <f t="shared" ref="R37:R68" si="16">H37*Q37</f>
        <v>0</v>
      </c>
      <c r="S37" s="13">
        <f t="shared" ref="S37:S61" si="17">IF(N37&gt;0,H37,0)</f>
        <v>0</v>
      </c>
      <c r="T37" s="8" t="str">
        <f t="shared" ref="T37:T61" si="18">IF(N37&gt;0,"Con entregas","Sin entregas")</f>
        <v>Sin entregas</v>
      </c>
      <c r="U37" s="14">
        <f>I37*Resumen!$C$6+J37*Resumen!$C$7+K37*Resumen!$C$9</f>
        <v>0</v>
      </c>
      <c r="V37" s="13">
        <f t="shared" ref="V37:V68" si="19">H37*U37</f>
        <v>0</v>
      </c>
      <c r="W37" s="21">
        <f t="shared" ref="W37:W61" si="20">IF(COUNTIF(I37:K37,1)&gt;0,1,0)</f>
        <v>0</v>
      </c>
      <c r="X37" s="14">
        <f t="shared" ref="X37:X61" si="21">COUNTIF(I37:K37,1)/3</f>
        <v>0</v>
      </c>
      <c r="Y37" s="14">
        <f t="shared" ref="Y37:Y61" si="22">N37</f>
        <v>0</v>
      </c>
      <c r="Z37" s="14">
        <f t="shared" ref="Z37:Z68" si="23">Y37-U37</f>
        <v>0</v>
      </c>
      <c r="AA37" s="28" t="s">
        <v>129</v>
      </c>
    </row>
    <row r="38" spans="1:27" ht="15" customHeight="1" x14ac:dyDescent="0.25">
      <c r="A38" s="8" t="s">
        <v>204</v>
      </c>
      <c r="B38" s="8" t="s">
        <v>205</v>
      </c>
      <c r="C38" s="8" t="s">
        <v>177</v>
      </c>
      <c r="D38" s="8" t="s">
        <v>161</v>
      </c>
      <c r="E38" s="8" t="s">
        <v>128</v>
      </c>
      <c r="F38" s="16">
        <v>45529</v>
      </c>
      <c r="H38" s="13">
        <f t="shared" si="12"/>
        <v>45529</v>
      </c>
      <c r="I38" s="21">
        <v>0</v>
      </c>
      <c r="J38" s="21">
        <v>0</v>
      </c>
      <c r="K38" s="21">
        <v>0</v>
      </c>
      <c r="N38" s="14">
        <f>I38*Resumen!$C$6+J38*Resumen!$C$7+K38*Resumen!$C$8</f>
        <v>0</v>
      </c>
      <c r="O38" s="13">
        <f t="shared" si="13"/>
        <v>0</v>
      </c>
      <c r="P38" s="13">
        <f t="shared" si="14"/>
        <v>45529</v>
      </c>
      <c r="Q38" s="14">
        <f t="shared" si="15"/>
        <v>0</v>
      </c>
      <c r="R38" s="13">
        <f t="shared" si="16"/>
        <v>0</v>
      </c>
      <c r="S38" s="13">
        <f t="shared" si="17"/>
        <v>0</v>
      </c>
      <c r="T38" s="8" t="str">
        <f t="shared" si="18"/>
        <v>Sin entregas</v>
      </c>
      <c r="U38" s="14">
        <f>I38*Resumen!$C$6+J38*Resumen!$C$7+K38*Resumen!$C$9</f>
        <v>0</v>
      </c>
      <c r="V38" s="13">
        <f t="shared" si="19"/>
        <v>0</v>
      </c>
      <c r="W38" s="21">
        <f t="shared" si="20"/>
        <v>0</v>
      </c>
      <c r="X38" s="14">
        <f t="shared" si="21"/>
        <v>0</v>
      </c>
      <c r="Y38" s="14">
        <f t="shared" si="22"/>
        <v>0</v>
      </c>
      <c r="Z38" s="14">
        <f t="shared" si="23"/>
        <v>0</v>
      </c>
      <c r="AA38" s="28" t="s">
        <v>129</v>
      </c>
    </row>
    <row r="39" spans="1:27" ht="15" customHeight="1" x14ac:dyDescent="0.25">
      <c r="A39" s="8" t="s">
        <v>206</v>
      </c>
      <c r="B39" s="8" t="s">
        <v>207</v>
      </c>
      <c r="C39" s="8" t="s">
        <v>185</v>
      </c>
      <c r="D39" s="8" t="s">
        <v>161</v>
      </c>
      <c r="E39" s="8" t="s">
        <v>128</v>
      </c>
      <c r="F39" s="16">
        <v>109140</v>
      </c>
      <c r="H39" s="13">
        <f t="shared" si="12"/>
        <v>109140</v>
      </c>
      <c r="I39" s="21">
        <v>0</v>
      </c>
      <c r="J39" s="21">
        <v>0</v>
      </c>
      <c r="K39" s="21">
        <v>0</v>
      </c>
      <c r="N39" s="14">
        <f>I39*Resumen!$C$6+J39*Resumen!$C$7+K39*Resumen!$C$8</f>
        <v>0</v>
      </c>
      <c r="O39" s="13">
        <f t="shared" si="13"/>
        <v>0</v>
      </c>
      <c r="P39" s="13">
        <f t="shared" si="14"/>
        <v>109140</v>
      </c>
      <c r="Q39" s="14">
        <f t="shared" si="15"/>
        <v>0</v>
      </c>
      <c r="R39" s="13">
        <f t="shared" si="16"/>
        <v>0</v>
      </c>
      <c r="S39" s="13">
        <f t="shared" si="17"/>
        <v>0</v>
      </c>
      <c r="T39" s="8" t="str">
        <f t="shared" si="18"/>
        <v>Sin entregas</v>
      </c>
      <c r="U39" s="14">
        <f>I39*Resumen!$C$6+J39*Resumen!$C$7+K39*Resumen!$C$9</f>
        <v>0</v>
      </c>
      <c r="V39" s="13">
        <f t="shared" si="19"/>
        <v>0</v>
      </c>
      <c r="W39" s="21">
        <f t="shared" si="20"/>
        <v>0</v>
      </c>
      <c r="X39" s="14">
        <f t="shared" si="21"/>
        <v>0</v>
      </c>
      <c r="Y39" s="14">
        <f t="shared" si="22"/>
        <v>0</v>
      </c>
      <c r="Z39" s="14">
        <f t="shared" si="23"/>
        <v>0</v>
      </c>
      <c r="AA39" s="28" t="s">
        <v>129</v>
      </c>
    </row>
    <row r="40" spans="1:27" ht="15" customHeight="1" x14ac:dyDescent="0.25">
      <c r="A40" s="8" t="s">
        <v>208</v>
      </c>
      <c r="B40" s="8" t="s">
        <v>209</v>
      </c>
      <c r="C40" s="8" t="s">
        <v>185</v>
      </c>
      <c r="D40" s="8" t="s">
        <v>161</v>
      </c>
      <c r="E40" s="8" t="s">
        <v>128</v>
      </c>
      <c r="F40" s="16">
        <v>126064</v>
      </c>
      <c r="G40" s="16">
        <v>126063.91</v>
      </c>
      <c r="H40" s="13">
        <f t="shared" si="12"/>
        <v>126063.91</v>
      </c>
      <c r="I40" s="21">
        <v>0</v>
      </c>
      <c r="J40" s="21">
        <v>1</v>
      </c>
      <c r="K40" s="21">
        <v>0</v>
      </c>
      <c r="L40" s="15">
        <v>3.61E-2</v>
      </c>
      <c r="M40" s="15">
        <v>1.35E-2</v>
      </c>
      <c r="N40" s="14">
        <f>I40*Resumen!$C$6+J40*Resumen!$C$7+K40*Resumen!$C$8</f>
        <v>0.45</v>
      </c>
      <c r="O40" s="13">
        <f t="shared" si="13"/>
        <v>56728.7595</v>
      </c>
      <c r="P40" s="13">
        <f t="shared" si="14"/>
        <v>69335.150500000003</v>
      </c>
      <c r="Q40" s="14">
        <f t="shared" si="15"/>
        <v>0.37396121883656508</v>
      </c>
      <c r="R40" s="13">
        <f t="shared" si="16"/>
        <v>47143.013434903049</v>
      </c>
      <c r="S40" s="13">
        <f t="shared" si="17"/>
        <v>126063.91</v>
      </c>
      <c r="T40" s="8" t="str">
        <f t="shared" si="18"/>
        <v>Con entregas</v>
      </c>
      <c r="U40" s="14">
        <f>I40*Resumen!$C$6+J40*Resumen!$C$7+K40*Resumen!$C$9</f>
        <v>0.45</v>
      </c>
      <c r="V40" s="13">
        <f t="shared" si="19"/>
        <v>56728.7595</v>
      </c>
      <c r="W40" s="21">
        <f t="shared" si="20"/>
        <v>1</v>
      </c>
      <c r="X40" s="14">
        <f t="shared" si="21"/>
        <v>0.33333333333333331</v>
      </c>
      <c r="Y40" s="14">
        <f t="shared" si="22"/>
        <v>0.45</v>
      </c>
      <c r="Z40" s="14">
        <f t="shared" si="23"/>
        <v>0</v>
      </c>
      <c r="AA40" s="28" t="s">
        <v>129</v>
      </c>
    </row>
    <row r="41" spans="1:27" ht="15" customHeight="1" x14ac:dyDescent="0.25">
      <c r="A41" s="8" t="s">
        <v>210</v>
      </c>
      <c r="B41" s="8" t="s">
        <v>211</v>
      </c>
      <c r="C41" s="8" t="s">
        <v>149</v>
      </c>
      <c r="D41" s="8" t="s">
        <v>161</v>
      </c>
      <c r="E41" s="8" t="s">
        <v>128</v>
      </c>
      <c r="F41" s="16">
        <v>9952</v>
      </c>
      <c r="G41" s="16">
        <v>9952.2000000000007</v>
      </c>
      <c r="H41" s="13">
        <f t="shared" si="12"/>
        <v>9952.2000000000007</v>
      </c>
      <c r="I41" s="21">
        <v>1</v>
      </c>
      <c r="J41" s="21">
        <v>1</v>
      </c>
      <c r="K41" s="21">
        <v>0</v>
      </c>
      <c r="L41" s="15">
        <v>2.8999999999999998E-3</v>
      </c>
      <c r="M41" s="15">
        <v>2.5999999999999999E-3</v>
      </c>
      <c r="N41" s="14">
        <f>I41*Resumen!$C$6+J41*Resumen!$C$7+K41*Resumen!$C$8</f>
        <v>0.9</v>
      </c>
      <c r="O41" s="13">
        <f t="shared" si="13"/>
        <v>8956.9800000000014</v>
      </c>
      <c r="P41" s="13">
        <f t="shared" si="14"/>
        <v>995.21999999999935</v>
      </c>
      <c r="Q41" s="14">
        <f t="shared" si="15"/>
        <v>0.89655172413793105</v>
      </c>
      <c r="R41" s="13">
        <f t="shared" si="16"/>
        <v>8922.6620689655174</v>
      </c>
      <c r="S41" s="13">
        <f t="shared" si="17"/>
        <v>9952.2000000000007</v>
      </c>
      <c r="T41" s="8" t="str">
        <f t="shared" si="18"/>
        <v>Con entregas</v>
      </c>
      <c r="U41" s="14">
        <f>I41*Resumen!$C$6+J41*Resumen!$C$7+K41*Resumen!$C$9</f>
        <v>0.9</v>
      </c>
      <c r="V41" s="13">
        <f t="shared" si="19"/>
        <v>8956.9800000000014</v>
      </c>
      <c r="W41" s="21">
        <f t="shared" si="20"/>
        <v>1</v>
      </c>
      <c r="X41" s="14">
        <f t="shared" si="21"/>
        <v>0.66666666666666663</v>
      </c>
      <c r="Y41" s="14">
        <f t="shared" si="22"/>
        <v>0.9</v>
      </c>
      <c r="Z41" s="14">
        <f t="shared" si="23"/>
        <v>0</v>
      </c>
      <c r="AA41" s="28" t="s">
        <v>129</v>
      </c>
    </row>
    <row r="42" spans="1:27" ht="15" customHeight="1" x14ac:dyDescent="0.25">
      <c r="A42" s="8" t="s">
        <v>212</v>
      </c>
      <c r="B42" s="8" t="s">
        <v>213</v>
      </c>
      <c r="C42" s="8" t="s">
        <v>149</v>
      </c>
      <c r="D42" s="8" t="s">
        <v>161</v>
      </c>
      <c r="E42" s="8" t="s">
        <v>128</v>
      </c>
      <c r="F42" s="16">
        <v>43404</v>
      </c>
      <c r="H42" s="13">
        <f t="shared" si="12"/>
        <v>43404</v>
      </c>
      <c r="I42" s="21">
        <v>0</v>
      </c>
      <c r="J42" s="21">
        <v>0</v>
      </c>
      <c r="K42" s="21">
        <v>0</v>
      </c>
      <c r="N42" s="14">
        <f>I42*Resumen!$C$6+J42*Resumen!$C$7+K42*Resumen!$C$8</f>
        <v>0</v>
      </c>
      <c r="O42" s="13">
        <f t="shared" si="13"/>
        <v>0</v>
      </c>
      <c r="P42" s="13">
        <f t="shared" si="14"/>
        <v>43404</v>
      </c>
      <c r="Q42" s="14">
        <f t="shared" si="15"/>
        <v>0</v>
      </c>
      <c r="R42" s="13">
        <f t="shared" si="16"/>
        <v>0</v>
      </c>
      <c r="S42" s="13">
        <f t="shared" si="17"/>
        <v>0</v>
      </c>
      <c r="T42" s="8" t="str">
        <f t="shared" si="18"/>
        <v>Sin entregas</v>
      </c>
      <c r="U42" s="14">
        <f>I42*Resumen!$C$6+J42*Resumen!$C$7+K42*Resumen!$C$9</f>
        <v>0</v>
      </c>
      <c r="V42" s="13">
        <f t="shared" si="19"/>
        <v>0</v>
      </c>
      <c r="W42" s="21">
        <f t="shared" si="20"/>
        <v>0</v>
      </c>
      <c r="X42" s="14">
        <f t="shared" si="21"/>
        <v>0</v>
      </c>
      <c r="Y42" s="14">
        <f t="shared" si="22"/>
        <v>0</v>
      </c>
      <c r="Z42" s="14">
        <f t="shared" si="23"/>
        <v>0</v>
      </c>
      <c r="AA42" s="28" t="s">
        <v>129</v>
      </c>
    </row>
    <row r="43" spans="1:27" ht="15" customHeight="1" x14ac:dyDescent="0.25">
      <c r="A43" s="8" t="s">
        <v>214</v>
      </c>
      <c r="B43" s="8" t="s">
        <v>215</v>
      </c>
      <c r="C43" s="8" t="s">
        <v>177</v>
      </c>
      <c r="D43" s="8" t="s">
        <v>161</v>
      </c>
      <c r="E43" s="8" t="s">
        <v>128</v>
      </c>
      <c r="F43" s="16">
        <v>121893</v>
      </c>
      <c r="G43" s="16">
        <v>121893.16</v>
      </c>
      <c r="H43" s="13">
        <f t="shared" si="12"/>
        <v>121893.16</v>
      </c>
      <c r="I43" s="21">
        <v>1</v>
      </c>
      <c r="J43" s="21">
        <v>1</v>
      </c>
      <c r="K43" s="21">
        <v>0</v>
      </c>
      <c r="L43" s="15">
        <v>3.49E-2</v>
      </c>
      <c r="M43" s="15">
        <v>3.1399999999999997E-2</v>
      </c>
      <c r="N43" s="14">
        <f>I43*Resumen!$C$6+J43*Resumen!$C$7+K43*Resumen!$C$8</f>
        <v>0.9</v>
      </c>
      <c r="O43" s="13">
        <f t="shared" si="13"/>
        <v>109703.84400000001</v>
      </c>
      <c r="P43" s="13">
        <f t="shared" si="14"/>
        <v>12189.315999999992</v>
      </c>
      <c r="Q43" s="14">
        <f t="shared" si="15"/>
        <v>0.89971346704871047</v>
      </c>
      <c r="R43" s="13">
        <f t="shared" si="16"/>
        <v>109668.9175931232</v>
      </c>
      <c r="S43" s="13">
        <f t="shared" si="17"/>
        <v>121893.16</v>
      </c>
      <c r="T43" s="8" t="str">
        <f t="shared" si="18"/>
        <v>Con entregas</v>
      </c>
      <c r="U43" s="14">
        <f>I43*Resumen!$C$6+J43*Resumen!$C$7+K43*Resumen!$C$9</f>
        <v>0.9</v>
      </c>
      <c r="V43" s="13">
        <f t="shared" si="19"/>
        <v>109703.84400000001</v>
      </c>
      <c r="W43" s="21">
        <f t="shared" si="20"/>
        <v>1</v>
      </c>
      <c r="X43" s="14">
        <f t="shared" si="21"/>
        <v>0.66666666666666663</v>
      </c>
      <c r="Y43" s="14">
        <f t="shared" si="22"/>
        <v>0.9</v>
      </c>
      <c r="Z43" s="14">
        <f t="shared" si="23"/>
        <v>0</v>
      </c>
      <c r="AA43" s="28" t="s">
        <v>129</v>
      </c>
    </row>
    <row r="44" spans="1:27" ht="15" customHeight="1" x14ac:dyDescent="0.25">
      <c r="A44" s="8" t="s">
        <v>216</v>
      </c>
      <c r="B44" s="8" t="s">
        <v>217</v>
      </c>
      <c r="C44" s="8" t="s">
        <v>177</v>
      </c>
      <c r="D44" s="8" t="s">
        <v>161</v>
      </c>
      <c r="E44" s="8" t="s">
        <v>128</v>
      </c>
      <c r="F44" s="16">
        <v>57907</v>
      </c>
      <c r="G44" s="16">
        <v>57906.71</v>
      </c>
      <c r="H44" s="13">
        <f t="shared" si="12"/>
        <v>57906.71</v>
      </c>
      <c r="I44" s="21">
        <v>1</v>
      </c>
      <c r="J44" s="21">
        <v>1</v>
      </c>
      <c r="K44" s="21">
        <v>0</v>
      </c>
      <c r="L44" s="15">
        <v>1.66E-2</v>
      </c>
      <c r="M44" s="15">
        <v>8.6E-3</v>
      </c>
      <c r="N44" s="14">
        <f>I44*Resumen!$C$6+J44*Resumen!$C$7+K44*Resumen!$C$8</f>
        <v>0.9</v>
      </c>
      <c r="O44" s="13">
        <f t="shared" si="13"/>
        <v>52116.038999999997</v>
      </c>
      <c r="P44" s="13">
        <f t="shared" si="14"/>
        <v>5790.6710000000021</v>
      </c>
      <c r="Q44" s="14">
        <f t="shared" si="15"/>
        <v>0.51807228915662651</v>
      </c>
      <c r="R44" s="13">
        <f t="shared" si="16"/>
        <v>29999.861807228914</v>
      </c>
      <c r="S44" s="13">
        <f t="shared" si="17"/>
        <v>57906.71</v>
      </c>
      <c r="T44" s="8" t="str">
        <f t="shared" si="18"/>
        <v>Con entregas</v>
      </c>
      <c r="U44" s="14">
        <f>I44*Resumen!$C$6+J44*Resumen!$C$7+K44*Resumen!$C$9</f>
        <v>0.9</v>
      </c>
      <c r="V44" s="13">
        <f t="shared" si="19"/>
        <v>52116.038999999997</v>
      </c>
      <c r="W44" s="21">
        <f t="shared" si="20"/>
        <v>1</v>
      </c>
      <c r="X44" s="14">
        <f t="shared" si="21"/>
        <v>0.66666666666666663</v>
      </c>
      <c r="Y44" s="14">
        <f t="shared" si="22"/>
        <v>0.9</v>
      </c>
      <c r="Z44" s="14">
        <f t="shared" si="23"/>
        <v>0</v>
      </c>
      <c r="AA44" s="28" t="s">
        <v>129</v>
      </c>
    </row>
    <row r="45" spans="1:27" ht="15" customHeight="1" x14ac:dyDescent="0.25">
      <c r="A45" s="8" t="s">
        <v>218</v>
      </c>
      <c r="B45" s="8" t="s">
        <v>219</v>
      </c>
      <c r="C45" s="8" t="s">
        <v>177</v>
      </c>
      <c r="D45" s="8" t="s">
        <v>161</v>
      </c>
      <c r="E45" s="8" t="s">
        <v>128</v>
      </c>
      <c r="F45" s="16">
        <v>37194</v>
      </c>
      <c r="G45" s="16">
        <v>37194.19</v>
      </c>
      <c r="H45" s="13">
        <f t="shared" si="12"/>
        <v>37194.19</v>
      </c>
      <c r="I45" s="21">
        <v>1</v>
      </c>
      <c r="J45" s="21">
        <v>1</v>
      </c>
      <c r="K45" s="21">
        <v>0</v>
      </c>
      <c r="L45" s="15">
        <v>1.0699999999999999E-2</v>
      </c>
      <c r="M45" s="15">
        <v>9.5999999999999992E-3</v>
      </c>
      <c r="N45" s="14">
        <f>I45*Resumen!$C$6+J45*Resumen!$C$7+K45*Resumen!$C$8</f>
        <v>0.9</v>
      </c>
      <c r="O45" s="13">
        <f t="shared" si="13"/>
        <v>33474.771000000001</v>
      </c>
      <c r="P45" s="13">
        <f t="shared" si="14"/>
        <v>3719.4190000000017</v>
      </c>
      <c r="Q45" s="14">
        <f t="shared" si="15"/>
        <v>0.89719626168224298</v>
      </c>
      <c r="R45" s="13">
        <f t="shared" si="16"/>
        <v>33370.488224299064</v>
      </c>
      <c r="S45" s="13">
        <f t="shared" si="17"/>
        <v>37194.19</v>
      </c>
      <c r="T45" s="8" t="str">
        <f t="shared" si="18"/>
        <v>Con entregas</v>
      </c>
      <c r="U45" s="14">
        <f>I45*Resumen!$C$6+J45*Resumen!$C$7+K45*Resumen!$C$9</f>
        <v>0.9</v>
      </c>
      <c r="V45" s="13">
        <f t="shared" si="19"/>
        <v>33474.771000000001</v>
      </c>
      <c r="W45" s="21">
        <f t="shared" si="20"/>
        <v>1</v>
      </c>
      <c r="X45" s="14">
        <f t="shared" si="21"/>
        <v>0.66666666666666663</v>
      </c>
      <c r="Y45" s="14">
        <f t="shared" si="22"/>
        <v>0.9</v>
      </c>
      <c r="Z45" s="14">
        <f t="shared" si="23"/>
        <v>0</v>
      </c>
      <c r="AA45" s="28" t="s">
        <v>129</v>
      </c>
    </row>
    <row r="46" spans="1:27" ht="15" customHeight="1" x14ac:dyDescent="0.25">
      <c r="A46" s="8" t="s">
        <v>220</v>
      </c>
      <c r="B46" s="8" t="s">
        <v>221</v>
      </c>
      <c r="C46" s="8" t="s">
        <v>157</v>
      </c>
      <c r="D46" s="8" t="s">
        <v>161</v>
      </c>
      <c r="E46" s="8" t="s">
        <v>128</v>
      </c>
      <c r="F46" s="16">
        <v>196582</v>
      </c>
      <c r="H46" s="13">
        <f t="shared" si="12"/>
        <v>196582</v>
      </c>
      <c r="I46" s="21">
        <v>0</v>
      </c>
      <c r="J46" s="21">
        <v>0</v>
      </c>
      <c r="K46" s="21">
        <v>0</v>
      </c>
      <c r="N46" s="14">
        <f>I46*Resumen!$C$6+J46*Resumen!$C$7+K46*Resumen!$C$8</f>
        <v>0</v>
      </c>
      <c r="O46" s="13">
        <f t="shared" si="13"/>
        <v>0</v>
      </c>
      <c r="P46" s="13">
        <f t="shared" si="14"/>
        <v>196582</v>
      </c>
      <c r="Q46" s="14">
        <f t="shared" si="15"/>
        <v>0</v>
      </c>
      <c r="R46" s="13">
        <f t="shared" si="16"/>
        <v>0</v>
      </c>
      <c r="S46" s="13">
        <f t="shared" si="17"/>
        <v>0</v>
      </c>
      <c r="T46" s="8" t="str">
        <f t="shared" si="18"/>
        <v>Sin entregas</v>
      </c>
      <c r="U46" s="14">
        <f>I46*Resumen!$C$6+J46*Resumen!$C$7+K46*Resumen!$C$9</f>
        <v>0</v>
      </c>
      <c r="V46" s="13">
        <f t="shared" si="19"/>
        <v>0</v>
      </c>
      <c r="W46" s="21">
        <f t="shared" si="20"/>
        <v>0</v>
      </c>
      <c r="X46" s="14">
        <f t="shared" si="21"/>
        <v>0</v>
      </c>
      <c r="Y46" s="14">
        <f t="shared" si="22"/>
        <v>0</v>
      </c>
      <c r="Z46" s="14">
        <f t="shared" si="23"/>
        <v>0</v>
      </c>
      <c r="AA46" s="28" t="s">
        <v>129</v>
      </c>
    </row>
    <row r="47" spans="1:27" ht="15" customHeight="1" x14ac:dyDescent="0.25">
      <c r="A47" s="8" t="s">
        <v>222</v>
      </c>
      <c r="B47" s="8" t="s">
        <v>223</v>
      </c>
      <c r="C47" s="8" t="s">
        <v>138</v>
      </c>
      <c r="D47" s="8" t="s">
        <v>161</v>
      </c>
      <c r="E47" s="8" t="s">
        <v>128</v>
      </c>
      <c r="F47" s="16">
        <v>20682</v>
      </c>
      <c r="H47" s="13">
        <f t="shared" si="12"/>
        <v>20682</v>
      </c>
      <c r="I47" s="21">
        <v>0</v>
      </c>
      <c r="J47" s="21">
        <v>0</v>
      </c>
      <c r="K47" s="21">
        <v>0</v>
      </c>
      <c r="N47" s="14">
        <f>I47*Resumen!$C$6+J47*Resumen!$C$7+K47*Resumen!$C$8</f>
        <v>0</v>
      </c>
      <c r="O47" s="13">
        <f t="shared" si="13"/>
        <v>0</v>
      </c>
      <c r="P47" s="13">
        <f t="shared" si="14"/>
        <v>20682</v>
      </c>
      <c r="Q47" s="14">
        <f t="shared" si="15"/>
        <v>0</v>
      </c>
      <c r="R47" s="13">
        <f t="shared" si="16"/>
        <v>0</v>
      </c>
      <c r="S47" s="13">
        <f t="shared" si="17"/>
        <v>0</v>
      </c>
      <c r="T47" s="8" t="str">
        <f t="shared" si="18"/>
        <v>Sin entregas</v>
      </c>
      <c r="U47" s="14">
        <f>I47*Resumen!$C$6+J47*Resumen!$C$7+K47*Resumen!$C$9</f>
        <v>0</v>
      </c>
      <c r="V47" s="13">
        <f t="shared" si="19"/>
        <v>0</v>
      </c>
      <c r="W47" s="21">
        <f t="shared" si="20"/>
        <v>0</v>
      </c>
      <c r="X47" s="14">
        <f t="shared" si="21"/>
        <v>0</v>
      </c>
      <c r="Y47" s="14">
        <f t="shared" si="22"/>
        <v>0</v>
      </c>
      <c r="Z47" s="14">
        <f t="shared" si="23"/>
        <v>0</v>
      </c>
      <c r="AA47" s="28" t="s">
        <v>129</v>
      </c>
    </row>
    <row r="48" spans="1:27" ht="15" customHeight="1" x14ac:dyDescent="0.25">
      <c r="A48" s="8" t="s">
        <v>224</v>
      </c>
      <c r="B48" s="8" t="s">
        <v>225</v>
      </c>
      <c r="C48" s="8" t="s">
        <v>138</v>
      </c>
      <c r="D48" s="8" t="s">
        <v>161</v>
      </c>
      <c r="E48" s="8" t="s">
        <v>128</v>
      </c>
      <c r="F48" s="16">
        <v>12605</v>
      </c>
      <c r="H48" s="13">
        <f t="shared" si="12"/>
        <v>12605</v>
      </c>
      <c r="I48" s="21">
        <v>0</v>
      </c>
      <c r="J48" s="21">
        <v>0</v>
      </c>
      <c r="K48" s="21">
        <v>0</v>
      </c>
      <c r="N48" s="14">
        <f>I48*Resumen!$C$6+J48*Resumen!$C$7+K48*Resumen!$C$8</f>
        <v>0</v>
      </c>
      <c r="O48" s="13">
        <f t="shared" si="13"/>
        <v>0</v>
      </c>
      <c r="P48" s="13">
        <f t="shared" si="14"/>
        <v>12605</v>
      </c>
      <c r="Q48" s="14">
        <f t="shared" si="15"/>
        <v>0</v>
      </c>
      <c r="R48" s="13">
        <f t="shared" si="16"/>
        <v>0</v>
      </c>
      <c r="S48" s="13">
        <f t="shared" si="17"/>
        <v>0</v>
      </c>
      <c r="T48" s="8" t="str">
        <f t="shared" si="18"/>
        <v>Sin entregas</v>
      </c>
      <c r="U48" s="14">
        <f>I48*Resumen!$C$6+J48*Resumen!$C$7+K48*Resumen!$C$9</f>
        <v>0</v>
      </c>
      <c r="V48" s="13">
        <f t="shared" si="19"/>
        <v>0</v>
      </c>
      <c r="W48" s="21">
        <f t="shared" si="20"/>
        <v>0</v>
      </c>
      <c r="X48" s="14">
        <f t="shared" si="21"/>
        <v>0</v>
      </c>
      <c r="Y48" s="14">
        <f t="shared" si="22"/>
        <v>0</v>
      </c>
      <c r="Z48" s="14">
        <f t="shared" si="23"/>
        <v>0</v>
      </c>
      <c r="AA48" s="28" t="s">
        <v>129</v>
      </c>
    </row>
    <row r="49" spans="1:27" ht="15" customHeight="1" x14ac:dyDescent="0.25">
      <c r="A49" s="8" t="s">
        <v>226</v>
      </c>
      <c r="B49" s="8" t="s">
        <v>227</v>
      </c>
      <c r="C49" s="8" t="s">
        <v>185</v>
      </c>
      <c r="D49" s="8" t="s">
        <v>161</v>
      </c>
      <c r="E49" s="8" t="s">
        <v>128</v>
      </c>
      <c r="F49" s="16">
        <v>27208</v>
      </c>
      <c r="G49" s="16">
        <v>27208.01</v>
      </c>
      <c r="H49" s="13">
        <f t="shared" si="12"/>
        <v>27208.01</v>
      </c>
      <c r="I49" s="21">
        <v>1</v>
      </c>
      <c r="J49" s="21">
        <v>1</v>
      </c>
      <c r="K49" s="21">
        <v>0</v>
      </c>
      <c r="L49" s="15">
        <v>7.7999999999999996E-3</v>
      </c>
      <c r="M49" s="15">
        <v>7.0000000000000001E-3</v>
      </c>
      <c r="N49" s="14">
        <f>I49*Resumen!$C$6+J49*Resumen!$C$7+K49*Resumen!$C$8</f>
        <v>0.9</v>
      </c>
      <c r="O49" s="13">
        <f t="shared" si="13"/>
        <v>24487.208999999999</v>
      </c>
      <c r="P49" s="13">
        <f t="shared" si="14"/>
        <v>2720.8009999999995</v>
      </c>
      <c r="Q49" s="14">
        <f t="shared" si="15"/>
        <v>0.89743589743589747</v>
      </c>
      <c r="R49" s="13">
        <f t="shared" si="16"/>
        <v>24417.444871794873</v>
      </c>
      <c r="S49" s="13">
        <f t="shared" si="17"/>
        <v>27208.01</v>
      </c>
      <c r="T49" s="8" t="str">
        <f t="shared" si="18"/>
        <v>Con entregas</v>
      </c>
      <c r="U49" s="14">
        <f>I49*Resumen!$C$6+J49*Resumen!$C$7+K49*Resumen!$C$9</f>
        <v>0.9</v>
      </c>
      <c r="V49" s="13">
        <f t="shared" si="19"/>
        <v>24487.208999999999</v>
      </c>
      <c r="W49" s="21">
        <f t="shared" si="20"/>
        <v>1</v>
      </c>
      <c r="X49" s="14">
        <f t="shared" si="21"/>
        <v>0.66666666666666663</v>
      </c>
      <c r="Y49" s="14">
        <f t="shared" si="22"/>
        <v>0.9</v>
      </c>
      <c r="Z49" s="14">
        <f t="shared" si="23"/>
        <v>0</v>
      </c>
      <c r="AA49" s="28" t="s">
        <v>129</v>
      </c>
    </row>
    <row r="50" spans="1:27" ht="15" customHeight="1" x14ac:dyDescent="0.25">
      <c r="A50" s="8" t="s">
        <v>228</v>
      </c>
      <c r="B50" s="8" t="s">
        <v>229</v>
      </c>
      <c r="C50" s="8" t="s">
        <v>185</v>
      </c>
      <c r="D50" s="8" t="s">
        <v>161</v>
      </c>
      <c r="E50" s="8" t="s">
        <v>128</v>
      </c>
      <c r="F50" s="16">
        <v>70535</v>
      </c>
      <c r="H50" s="13">
        <f t="shared" si="12"/>
        <v>70535</v>
      </c>
      <c r="I50" s="21">
        <v>0</v>
      </c>
      <c r="J50" s="21">
        <v>0</v>
      </c>
      <c r="K50" s="21">
        <v>0</v>
      </c>
      <c r="N50" s="14">
        <f>I50*Resumen!$C$6+J50*Resumen!$C$7+K50*Resumen!$C$8</f>
        <v>0</v>
      </c>
      <c r="O50" s="13">
        <f t="shared" si="13"/>
        <v>0</v>
      </c>
      <c r="P50" s="13">
        <f t="shared" si="14"/>
        <v>70535</v>
      </c>
      <c r="Q50" s="14">
        <f t="shared" si="15"/>
        <v>0</v>
      </c>
      <c r="R50" s="13">
        <f t="shared" si="16"/>
        <v>0</v>
      </c>
      <c r="S50" s="13">
        <f t="shared" si="17"/>
        <v>0</v>
      </c>
      <c r="T50" s="8" t="str">
        <f t="shared" si="18"/>
        <v>Sin entregas</v>
      </c>
      <c r="U50" s="14">
        <f>I50*Resumen!$C$6+J50*Resumen!$C$7+K50*Resumen!$C$9</f>
        <v>0</v>
      </c>
      <c r="V50" s="13">
        <f t="shared" si="19"/>
        <v>0</v>
      </c>
      <c r="W50" s="21">
        <f t="shared" si="20"/>
        <v>0</v>
      </c>
      <c r="X50" s="14">
        <f t="shared" si="21"/>
        <v>0</v>
      </c>
      <c r="Y50" s="14">
        <f t="shared" si="22"/>
        <v>0</v>
      </c>
      <c r="Z50" s="14">
        <f t="shared" si="23"/>
        <v>0</v>
      </c>
      <c r="AA50" s="28" t="s">
        <v>129</v>
      </c>
    </row>
    <row r="51" spans="1:27" ht="15" customHeight="1" x14ac:dyDescent="0.25">
      <c r="A51" s="8" t="s">
        <v>230</v>
      </c>
      <c r="B51" s="8" t="s">
        <v>231</v>
      </c>
      <c r="C51" s="8" t="s">
        <v>138</v>
      </c>
      <c r="D51" s="8" t="s">
        <v>161</v>
      </c>
      <c r="E51" s="8" t="s">
        <v>128</v>
      </c>
      <c r="F51" s="16">
        <v>23361</v>
      </c>
      <c r="H51" s="13">
        <f t="shared" si="12"/>
        <v>23361</v>
      </c>
      <c r="I51" s="21">
        <v>0</v>
      </c>
      <c r="J51" s="21">
        <v>0</v>
      </c>
      <c r="K51" s="21">
        <v>0</v>
      </c>
      <c r="N51" s="14">
        <f>I51*Resumen!$C$6+J51*Resumen!$C$7+K51*Resumen!$C$8</f>
        <v>0</v>
      </c>
      <c r="O51" s="13">
        <f t="shared" si="13"/>
        <v>0</v>
      </c>
      <c r="P51" s="13">
        <f t="shared" si="14"/>
        <v>23361</v>
      </c>
      <c r="Q51" s="14">
        <f t="shared" si="15"/>
        <v>0</v>
      </c>
      <c r="R51" s="13">
        <f t="shared" si="16"/>
        <v>0</v>
      </c>
      <c r="S51" s="13">
        <f t="shared" si="17"/>
        <v>0</v>
      </c>
      <c r="T51" s="8" t="str">
        <f t="shared" si="18"/>
        <v>Sin entregas</v>
      </c>
      <c r="U51" s="14">
        <f>I51*Resumen!$C$6+J51*Resumen!$C$7+K51*Resumen!$C$9</f>
        <v>0</v>
      </c>
      <c r="V51" s="13">
        <f t="shared" si="19"/>
        <v>0</v>
      </c>
      <c r="W51" s="21">
        <f t="shared" si="20"/>
        <v>0</v>
      </c>
      <c r="X51" s="14">
        <f t="shared" si="21"/>
        <v>0</v>
      </c>
      <c r="Y51" s="14">
        <f t="shared" si="22"/>
        <v>0</v>
      </c>
      <c r="Z51" s="14">
        <f t="shared" si="23"/>
        <v>0</v>
      </c>
      <c r="AA51" s="28" t="s">
        <v>129</v>
      </c>
    </row>
    <row r="52" spans="1:27" ht="15" customHeight="1" x14ac:dyDescent="0.25">
      <c r="A52" s="8" t="s">
        <v>232</v>
      </c>
      <c r="B52" s="8" t="s">
        <v>233</v>
      </c>
      <c r="C52" s="8" t="s">
        <v>157</v>
      </c>
      <c r="D52" s="8" t="s">
        <v>161</v>
      </c>
      <c r="E52" s="8" t="s">
        <v>128</v>
      </c>
      <c r="F52" s="16">
        <v>42700</v>
      </c>
      <c r="G52" s="16">
        <v>42700.2</v>
      </c>
      <c r="H52" s="13">
        <f t="shared" si="12"/>
        <v>42700.2</v>
      </c>
      <c r="I52" s="21">
        <v>1</v>
      </c>
      <c r="J52" s="21">
        <v>0</v>
      </c>
      <c r="K52" s="21">
        <v>0</v>
      </c>
      <c r="L52" s="15">
        <v>1.2200000000000001E-2</v>
      </c>
      <c r="M52" s="15">
        <v>4.1999999999999997E-3</v>
      </c>
      <c r="N52" s="14">
        <f>I52*Resumen!$C$6+J52*Resumen!$C$7+K52*Resumen!$C$8</f>
        <v>0.45</v>
      </c>
      <c r="O52" s="13">
        <f t="shared" si="13"/>
        <v>19215.09</v>
      </c>
      <c r="P52" s="13">
        <f t="shared" si="14"/>
        <v>23485.109999999997</v>
      </c>
      <c r="Q52" s="14">
        <f t="shared" si="15"/>
        <v>0.34426229508196715</v>
      </c>
      <c r="R52" s="13">
        <f t="shared" si="16"/>
        <v>14700.068852459013</v>
      </c>
      <c r="S52" s="13">
        <f t="shared" si="17"/>
        <v>42700.2</v>
      </c>
      <c r="T52" s="8" t="str">
        <f t="shared" si="18"/>
        <v>Con entregas</v>
      </c>
      <c r="U52" s="14">
        <f>I52*Resumen!$C$6+J52*Resumen!$C$7+K52*Resumen!$C$9</f>
        <v>0.45</v>
      </c>
      <c r="V52" s="13">
        <f t="shared" si="19"/>
        <v>19215.09</v>
      </c>
      <c r="W52" s="21">
        <f t="shared" si="20"/>
        <v>1</v>
      </c>
      <c r="X52" s="14">
        <f t="shared" si="21"/>
        <v>0.33333333333333331</v>
      </c>
      <c r="Y52" s="14">
        <f t="shared" si="22"/>
        <v>0.45</v>
      </c>
      <c r="Z52" s="14">
        <f t="shared" si="23"/>
        <v>0</v>
      </c>
      <c r="AA52" s="28" t="s">
        <v>129</v>
      </c>
    </row>
    <row r="53" spans="1:27" ht="15" customHeight="1" x14ac:dyDescent="0.25">
      <c r="A53" s="8" t="s">
        <v>234</v>
      </c>
      <c r="B53" s="8" t="s">
        <v>235</v>
      </c>
      <c r="C53" s="8" t="s">
        <v>138</v>
      </c>
      <c r="D53" s="8" t="s">
        <v>161</v>
      </c>
      <c r="E53" s="8" t="s">
        <v>128</v>
      </c>
      <c r="F53" s="16">
        <v>86571</v>
      </c>
      <c r="H53" s="13">
        <f t="shared" si="12"/>
        <v>86571</v>
      </c>
      <c r="I53" s="21">
        <v>0</v>
      </c>
      <c r="J53" s="21">
        <v>0</v>
      </c>
      <c r="K53" s="21">
        <v>0</v>
      </c>
      <c r="N53" s="14">
        <f>I53*Resumen!$C$6+J53*Resumen!$C$7+K53*Resumen!$C$8</f>
        <v>0</v>
      </c>
      <c r="O53" s="13">
        <f t="shared" si="13"/>
        <v>0</v>
      </c>
      <c r="P53" s="13">
        <f t="shared" si="14"/>
        <v>86571</v>
      </c>
      <c r="Q53" s="14">
        <f t="shared" si="15"/>
        <v>0</v>
      </c>
      <c r="R53" s="13">
        <f t="shared" si="16"/>
        <v>0</v>
      </c>
      <c r="S53" s="13">
        <f t="shared" si="17"/>
        <v>0</v>
      </c>
      <c r="T53" s="8" t="str">
        <f t="shared" si="18"/>
        <v>Sin entregas</v>
      </c>
      <c r="U53" s="14">
        <f>I53*Resumen!$C$6+J53*Resumen!$C$7+K53*Resumen!$C$9</f>
        <v>0</v>
      </c>
      <c r="V53" s="13">
        <f t="shared" si="19"/>
        <v>0</v>
      </c>
      <c r="W53" s="21">
        <f t="shared" si="20"/>
        <v>0</v>
      </c>
      <c r="X53" s="14">
        <f t="shared" si="21"/>
        <v>0</v>
      </c>
      <c r="Y53" s="14">
        <f t="shared" si="22"/>
        <v>0</v>
      </c>
      <c r="Z53" s="14">
        <f t="shared" si="23"/>
        <v>0</v>
      </c>
      <c r="AA53" s="28" t="s">
        <v>129</v>
      </c>
    </row>
    <row r="54" spans="1:27" ht="15" customHeight="1" x14ac:dyDescent="0.25">
      <c r="A54" s="8" t="s">
        <v>236</v>
      </c>
      <c r="B54" s="8" t="s">
        <v>237</v>
      </c>
      <c r="C54" s="8" t="s">
        <v>157</v>
      </c>
      <c r="D54" s="8" t="s">
        <v>161</v>
      </c>
      <c r="E54" s="8" t="s">
        <v>128</v>
      </c>
      <c r="F54" s="16">
        <v>26674</v>
      </c>
      <c r="H54" s="13">
        <f t="shared" si="12"/>
        <v>26674</v>
      </c>
      <c r="I54" s="21">
        <v>0</v>
      </c>
      <c r="J54" s="21">
        <v>0</v>
      </c>
      <c r="K54" s="21">
        <v>0</v>
      </c>
      <c r="N54" s="14">
        <f>I54*Resumen!$C$6+J54*Resumen!$C$7+K54*Resumen!$C$8</f>
        <v>0</v>
      </c>
      <c r="O54" s="13">
        <f t="shared" si="13"/>
        <v>0</v>
      </c>
      <c r="P54" s="13">
        <f t="shared" si="14"/>
        <v>26674</v>
      </c>
      <c r="Q54" s="14">
        <f t="shared" si="15"/>
        <v>0</v>
      </c>
      <c r="R54" s="13">
        <f t="shared" si="16"/>
        <v>0</v>
      </c>
      <c r="S54" s="13">
        <f t="shared" si="17"/>
        <v>0</v>
      </c>
      <c r="T54" s="8" t="str">
        <f t="shared" si="18"/>
        <v>Sin entregas</v>
      </c>
      <c r="U54" s="14">
        <f>I54*Resumen!$C$6+J54*Resumen!$C$7+K54*Resumen!$C$9</f>
        <v>0</v>
      </c>
      <c r="V54" s="13">
        <f t="shared" si="19"/>
        <v>0</v>
      </c>
      <c r="W54" s="21">
        <f t="shared" si="20"/>
        <v>0</v>
      </c>
      <c r="X54" s="14">
        <f t="shared" si="21"/>
        <v>0</v>
      </c>
      <c r="Y54" s="14">
        <f t="shared" si="22"/>
        <v>0</v>
      </c>
      <c r="Z54" s="14">
        <f t="shared" si="23"/>
        <v>0</v>
      </c>
      <c r="AA54" s="28" t="s">
        <v>129</v>
      </c>
    </row>
    <row r="55" spans="1:27" ht="15" customHeight="1" x14ac:dyDescent="0.25">
      <c r="A55" s="8" t="s">
        <v>238</v>
      </c>
      <c r="B55" s="8" t="s">
        <v>239</v>
      </c>
      <c r="C55" s="8" t="s">
        <v>180</v>
      </c>
      <c r="D55" s="8" t="s">
        <v>161</v>
      </c>
      <c r="E55" s="8" t="s">
        <v>128</v>
      </c>
      <c r="F55" s="16">
        <v>115340</v>
      </c>
      <c r="H55" s="13">
        <f t="shared" si="12"/>
        <v>115340</v>
      </c>
      <c r="I55" s="21">
        <v>0</v>
      </c>
      <c r="J55" s="21">
        <v>0</v>
      </c>
      <c r="K55" s="21">
        <v>0</v>
      </c>
      <c r="N55" s="14">
        <f>I55*Resumen!$C$6+J55*Resumen!$C$7+K55*Resumen!$C$8</f>
        <v>0</v>
      </c>
      <c r="O55" s="13">
        <f t="shared" si="13"/>
        <v>0</v>
      </c>
      <c r="P55" s="13">
        <f t="shared" si="14"/>
        <v>115340</v>
      </c>
      <c r="Q55" s="14">
        <f t="shared" si="15"/>
        <v>0</v>
      </c>
      <c r="R55" s="13">
        <f t="shared" si="16"/>
        <v>0</v>
      </c>
      <c r="S55" s="13">
        <f t="shared" si="17"/>
        <v>0</v>
      </c>
      <c r="T55" s="8" t="str">
        <f t="shared" si="18"/>
        <v>Sin entregas</v>
      </c>
      <c r="U55" s="14">
        <f>I55*Resumen!$C$6+J55*Resumen!$C$7+K55*Resumen!$C$9</f>
        <v>0</v>
      </c>
      <c r="V55" s="13">
        <f t="shared" si="19"/>
        <v>0</v>
      </c>
      <c r="W55" s="21">
        <f t="shared" si="20"/>
        <v>0</v>
      </c>
      <c r="X55" s="14">
        <f t="shared" si="21"/>
        <v>0</v>
      </c>
      <c r="Y55" s="14">
        <f t="shared" si="22"/>
        <v>0</v>
      </c>
      <c r="Z55" s="14">
        <f t="shared" si="23"/>
        <v>0</v>
      </c>
      <c r="AA55" s="28" t="s">
        <v>129</v>
      </c>
    </row>
    <row r="56" spans="1:27" ht="15" customHeight="1" x14ac:dyDescent="0.25">
      <c r="A56" s="8" t="s">
        <v>240</v>
      </c>
      <c r="B56" s="8" t="s">
        <v>241</v>
      </c>
      <c r="C56" s="8" t="s">
        <v>138</v>
      </c>
      <c r="D56" s="8" t="s">
        <v>161</v>
      </c>
      <c r="E56" s="8" t="s">
        <v>128</v>
      </c>
      <c r="F56" s="16">
        <v>13442</v>
      </c>
      <c r="H56" s="13">
        <f t="shared" si="12"/>
        <v>13442</v>
      </c>
      <c r="I56" s="21">
        <v>0</v>
      </c>
      <c r="J56" s="21">
        <v>0</v>
      </c>
      <c r="K56" s="21">
        <v>0</v>
      </c>
      <c r="N56" s="14">
        <f>I56*Resumen!$C$6+J56*Resumen!$C$7+K56*Resumen!$C$8</f>
        <v>0</v>
      </c>
      <c r="O56" s="13">
        <f t="shared" si="13"/>
        <v>0</v>
      </c>
      <c r="P56" s="13">
        <f t="shared" si="14"/>
        <v>13442</v>
      </c>
      <c r="Q56" s="14">
        <f t="shared" si="15"/>
        <v>0</v>
      </c>
      <c r="R56" s="13">
        <f t="shared" si="16"/>
        <v>0</v>
      </c>
      <c r="S56" s="13">
        <f t="shared" si="17"/>
        <v>0</v>
      </c>
      <c r="T56" s="8" t="str">
        <f t="shared" si="18"/>
        <v>Sin entregas</v>
      </c>
      <c r="U56" s="14">
        <f>I56*Resumen!$C$6+J56*Resumen!$C$7+K56*Resumen!$C$9</f>
        <v>0</v>
      </c>
      <c r="V56" s="13">
        <f t="shared" si="19"/>
        <v>0</v>
      </c>
      <c r="W56" s="21">
        <f t="shared" si="20"/>
        <v>0</v>
      </c>
      <c r="X56" s="14">
        <f t="shared" si="21"/>
        <v>0</v>
      </c>
      <c r="Y56" s="14">
        <f t="shared" si="22"/>
        <v>0</v>
      </c>
      <c r="Z56" s="14">
        <f t="shared" si="23"/>
        <v>0</v>
      </c>
      <c r="AA56" s="28" t="s">
        <v>129</v>
      </c>
    </row>
    <row r="57" spans="1:27" ht="15" customHeight="1" x14ac:dyDescent="0.25">
      <c r="A57" s="8" t="s">
        <v>242</v>
      </c>
      <c r="B57" s="8" t="s">
        <v>243</v>
      </c>
      <c r="C57" s="8" t="s">
        <v>185</v>
      </c>
      <c r="D57" s="8" t="s">
        <v>161</v>
      </c>
      <c r="E57" s="8" t="s">
        <v>128</v>
      </c>
      <c r="F57" s="16">
        <v>294751</v>
      </c>
      <c r="H57" s="13">
        <f t="shared" si="12"/>
        <v>294751</v>
      </c>
      <c r="I57" s="21">
        <v>0</v>
      </c>
      <c r="J57" s="21">
        <v>0</v>
      </c>
      <c r="K57" s="21">
        <v>0</v>
      </c>
      <c r="N57" s="14">
        <f>I57*Resumen!$C$6+J57*Resumen!$C$7+K57*Resumen!$C$8</f>
        <v>0</v>
      </c>
      <c r="O57" s="13">
        <f t="shared" si="13"/>
        <v>0</v>
      </c>
      <c r="P57" s="13">
        <f t="shared" si="14"/>
        <v>294751</v>
      </c>
      <c r="Q57" s="14">
        <f t="shared" si="15"/>
        <v>0</v>
      </c>
      <c r="R57" s="13">
        <f t="shared" si="16"/>
        <v>0</v>
      </c>
      <c r="S57" s="13">
        <f t="shared" si="17"/>
        <v>0</v>
      </c>
      <c r="T57" s="8" t="str">
        <f t="shared" si="18"/>
        <v>Sin entregas</v>
      </c>
      <c r="U57" s="14">
        <f>I57*Resumen!$C$6+J57*Resumen!$C$7+K57*Resumen!$C$9</f>
        <v>0</v>
      </c>
      <c r="V57" s="13">
        <f t="shared" si="19"/>
        <v>0</v>
      </c>
      <c r="W57" s="21">
        <f t="shared" si="20"/>
        <v>0</v>
      </c>
      <c r="X57" s="14">
        <f t="shared" si="21"/>
        <v>0</v>
      </c>
      <c r="Y57" s="14">
        <f t="shared" si="22"/>
        <v>0</v>
      </c>
      <c r="Z57" s="14">
        <f t="shared" si="23"/>
        <v>0</v>
      </c>
      <c r="AA57" s="28" t="s">
        <v>129</v>
      </c>
    </row>
    <row r="58" spans="1:27" ht="15" customHeight="1" x14ac:dyDescent="0.25">
      <c r="A58" s="8" t="s">
        <v>244</v>
      </c>
      <c r="B58" s="8" t="s">
        <v>245</v>
      </c>
      <c r="C58" s="8" t="s">
        <v>149</v>
      </c>
      <c r="D58" s="8" t="s">
        <v>161</v>
      </c>
      <c r="E58" s="8" t="s">
        <v>128</v>
      </c>
      <c r="F58" s="16">
        <v>26594</v>
      </c>
      <c r="H58" s="13">
        <f t="shared" si="12"/>
        <v>26594</v>
      </c>
      <c r="I58" s="21">
        <v>0</v>
      </c>
      <c r="J58" s="21">
        <v>0</v>
      </c>
      <c r="K58" s="21">
        <v>0</v>
      </c>
      <c r="N58" s="14">
        <f>I58*Resumen!$C$6+J58*Resumen!$C$7+K58*Resumen!$C$8</f>
        <v>0</v>
      </c>
      <c r="O58" s="13">
        <f t="shared" si="13"/>
        <v>0</v>
      </c>
      <c r="P58" s="13">
        <f t="shared" si="14"/>
        <v>26594</v>
      </c>
      <c r="Q58" s="14">
        <f t="shared" si="15"/>
        <v>0</v>
      </c>
      <c r="R58" s="13">
        <f t="shared" si="16"/>
        <v>0</v>
      </c>
      <c r="S58" s="13">
        <f t="shared" si="17"/>
        <v>0</v>
      </c>
      <c r="T58" s="8" t="str">
        <f t="shared" si="18"/>
        <v>Sin entregas</v>
      </c>
      <c r="U58" s="14">
        <f>I58*Resumen!$C$6+J58*Resumen!$C$7+K58*Resumen!$C$9</f>
        <v>0</v>
      </c>
      <c r="V58" s="13">
        <f t="shared" si="19"/>
        <v>0</v>
      </c>
      <c r="W58" s="21">
        <f t="shared" si="20"/>
        <v>0</v>
      </c>
      <c r="X58" s="14">
        <f t="shared" si="21"/>
        <v>0</v>
      </c>
      <c r="Y58" s="14">
        <f t="shared" si="22"/>
        <v>0</v>
      </c>
      <c r="Z58" s="14">
        <f t="shared" si="23"/>
        <v>0</v>
      </c>
      <c r="AA58" s="28" t="s">
        <v>129</v>
      </c>
    </row>
    <row r="59" spans="1:27" ht="15" customHeight="1" x14ac:dyDescent="0.25">
      <c r="A59" s="8" t="s">
        <v>246</v>
      </c>
      <c r="B59" s="8" t="s">
        <v>247</v>
      </c>
      <c r="C59" s="8" t="s">
        <v>138</v>
      </c>
      <c r="D59" s="8" t="s">
        <v>161</v>
      </c>
      <c r="E59" s="8" t="s">
        <v>128</v>
      </c>
      <c r="F59" s="16">
        <v>56748</v>
      </c>
      <c r="H59" s="13">
        <f t="shared" si="12"/>
        <v>56748</v>
      </c>
      <c r="I59" s="21">
        <v>0</v>
      </c>
      <c r="J59" s="21">
        <v>0</v>
      </c>
      <c r="K59" s="21">
        <v>0</v>
      </c>
      <c r="N59" s="14">
        <f>I59*Resumen!$C$6+J59*Resumen!$C$7+K59*Resumen!$C$8</f>
        <v>0</v>
      </c>
      <c r="O59" s="13">
        <f t="shared" si="13"/>
        <v>0</v>
      </c>
      <c r="P59" s="13">
        <f t="shared" si="14"/>
        <v>56748</v>
      </c>
      <c r="Q59" s="14">
        <f t="shared" si="15"/>
        <v>0</v>
      </c>
      <c r="R59" s="13">
        <f t="shared" si="16"/>
        <v>0</v>
      </c>
      <c r="S59" s="13">
        <f t="shared" si="17"/>
        <v>0</v>
      </c>
      <c r="T59" s="8" t="str">
        <f t="shared" si="18"/>
        <v>Sin entregas</v>
      </c>
      <c r="U59" s="14">
        <f>I59*Resumen!$C$6+J59*Resumen!$C$7+K59*Resumen!$C$9</f>
        <v>0</v>
      </c>
      <c r="V59" s="13">
        <f t="shared" si="19"/>
        <v>0</v>
      </c>
      <c r="W59" s="21">
        <f t="shared" si="20"/>
        <v>0</v>
      </c>
      <c r="X59" s="14">
        <f t="shared" si="21"/>
        <v>0</v>
      </c>
      <c r="Y59" s="14">
        <f t="shared" si="22"/>
        <v>0</v>
      </c>
      <c r="Z59" s="14">
        <f t="shared" si="23"/>
        <v>0</v>
      </c>
      <c r="AA59" s="28" t="s">
        <v>129</v>
      </c>
    </row>
    <row r="60" spans="1:27" ht="15" customHeight="1" x14ac:dyDescent="0.25">
      <c r="A60" s="8" t="s">
        <v>248</v>
      </c>
      <c r="B60" s="8" t="s">
        <v>249</v>
      </c>
      <c r="C60" s="8" t="s">
        <v>138</v>
      </c>
      <c r="D60" s="8" t="s">
        <v>161</v>
      </c>
      <c r="E60" s="8" t="s">
        <v>128</v>
      </c>
      <c r="F60" s="16">
        <v>71233</v>
      </c>
      <c r="H60" s="13">
        <f t="shared" si="12"/>
        <v>71233</v>
      </c>
      <c r="I60" s="21">
        <v>0</v>
      </c>
      <c r="J60" s="21">
        <v>0</v>
      </c>
      <c r="K60" s="21">
        <v>0</v>
      </c>
      <c r="N60" s="14">
        <f>I60*Resumen!$C$6+J60*Resumen!$C$7+K60*Resumen!$C$8</f>
        <v>0</v>
      </c>
      <c r="O60" s="13">
        <f t="shared" si="13"/>
        <v>0</v>
      </c>
      <c r="P60" s="13">
        <f t="shared" si="14"/>
        <v>71233</v>
      </c>
      <c r="Q60" s="14">
        <f t="shared" si="15"/>
        <v>0</v>
      </c>
      <c r="R60" s="13">
        <f t="shared" si="16"/>
        <v>0</v>
      </c>
      <c r="S60" s="13">
        <f t="shared" si="17"/>
        <v>0</v>
      </c>
      <c r="T60" s="8" t="str">
        <f t="shared" si="18"/>
        <v>Sin entregas</v>
      </c>
      <c r="U60" s="14">
        <f>I60*Resumen!$C$6+J60*Resumen!$C$7+K60*Resumen!$C$9</f>
        <v>0</v>
      </c>
      <c r="V60" s="13">
        <f t="shared" si="19"/>
        <v>0</v>
      </c>
      <c r="W60" s="21">
        <f t="shared" si="20"/>
        <v>0</v>
      </c>
      <c r="X60" s="14">
        <f t="shared" si="21"/>
        <v>0</v>
      </c>
      <c r="Y60" s="14">
        <f t="shared" si="22"/>
        <v>0</v>
      </c>
      <c r="Z60" s="14">
        <f t="shared" si="23"/>
        <v>0</v>
      </c>
      <c r="AA60" s="28" t="s">
        <v>129</v>
      </c>
    </row>
    <row r="61" spans="1:27" ht="15" customHeight="1" x14ac:dyDescent="0.25">
      <c r="A61" s="8" t="s">
        <v>250</v>
      </c>
      <c r="B61" s="8" t="s">
        <v>251</v>
      </c>
      <c r="C61" s="8" t="s">
        <v>177</v>
      </c>
      <c r="D61" s="8" t="s">
        <v>161</v>
      </c>
      <c r="E61" s="8" t="s">
        <v>128</v>
      </c>
      <c r="F61" s="16">
        <v>192222</v>
      </c>
      <c r="H61" s="13">
        <f t="shared" si="12"/>
        <v>192222</v>
      </c>
      <c r="I61" s="21">
        <v>0</v>
      </c>
      <c r="J61" s="21">
        <v>0</v>
      </c>
      <c r="K61" s="21">
        <v>0</v>
      </c>
      <c r="N61" s="14">
        <f>I61*Resumen!$C$6+J61*Resumen!$C$7+K61*Resumen!$C$8</f>
        <v>0</v>
      </c>
      <c r="O61" s="13">
        <f t="shared" si="13"/>
        <v>0</v>
      </c>
      <c r="P61" s="13">
        <f t="shared" si="14"/>
        <v>192222</v>
      </c>
      <c r="Q61" s="14">
        <f t="shared" si="15"/>
        <v>0</v>
      </c>
      <c r="R61" s="13">
        <f t="shared" si="16"/>
        <v>0</v>
      </c>
      <c r="S61" s="13">
        <f t="shared" si="17"/>
        <v>0</v>
      </c>
      <c r="T61" s="8" t="str">
        <f t="shared" si="18"/>
        <v>Sin entregas</v>
      </c>
      <c r="U61" s="14">
        <f>I61*Resumen!$C$6+J61*Resumen!$C$7+K61*Resumen!$C$9</f>
        <v>0</v>
      </c>
      <c r="V61" s="13">
        <f t="shared" si="19"/>
        <v>0</v>
      </c>
      <c r="W61" s="21">
        <f t="shared" si="20"/>
        <v>0</v>
      </c>
      <c r="X61" s="14">
        <f t="shared" si="21"/>
        <v>0</v>
      </c>
      <c r="Y61" s="14">
        <f t="shared" si="22"/>
        <v>0</v>
      </c>
      <c r="Z61" s="14">
        <f t="shared" si="23"/>
        <v>0</v>
      </c>
      <c r="AA61" s="28" t="s">
        <v>129</v>
      </c>
    </row>
    <row r="62" spans="1:27" ht="15" customHeight="1" x14ac:dyDescent="0.25">
      <c r="A62" s="22"/>
      <c r="B62" s="10" t="s">
        <v>252</v>
      </c>
      <c r="C62" s="22"/>
      <c r="D62" s="22"/>
      <c r="E62" s="22"/>
      <c r="F62" s="23">
        <f t="shared" ref="F62:K62" si="24">SUM(F5:F61)</f>
        <v>3489900</v>
      </c>
      <c r="G62" s="23">
        <f t="shared" si="24"/>
        <v>782009.99</v>
      </c>
      <c r="H62" s="23">
        <f t="shared" si="24"/>
        <v>3489899.9899999998</v>
      </c>
      <c r="I62" s="10">
        <f t="shared" si="24"/>
        <v>12</v>
      </c>
      <c r="J62" s="10">
        <f t="shared" si="24"/>
        <v>13</v>
      </c>
      <c r="K62" s="10">
        <f t="shared" si="24"/>
        <v>0</v>
      </c>
      <c r="L62" s="22"/>
      <c r="M62" s="22"/>
      <c r="N62" s="24">
        <f>IF(H62=0,0,O62/H62)</f>
        <v>0.15636667843309743</v>
      </c>
      <c r="O62" s="23">
        <f>SUM(O5:O61)</f>
        <v>545704.06949999987</v>
      </c>
      <c r="P62" s="23">
        <f>SUM(P5:P61)</f>
        <v>2944195.9205</v>
      </c>
      <c r="Q62" s="24">
        <f>IF(H62=0,0,R62/H62)</f>
        <v>0.14179323561416379</v>
      </c>
      <c r="R62" s="23">
        <f>SUM(R5:R61)</f>
        <v>494844.2115519378</v>
      </c>
      <c r="S62" s="23">
        <f>SUM(S5:S61)</f>
        <v>782009.99</v>
      </c>
      <c r="T62" s="10" t="str">
        <f>COUNTIF(T5:T61,"Con entregas")&amp;" de "&amp;COUNTA(B5:B61)&amp;" municipios"</f>
        <v>15 de 57 municipios</v>
      </c>
      <c r="U62" s="22"/>
      <c r="V62" s="22"/>
      <c r="W62" s="22"/>
      <c r="X62" s="22"/>
      <c r="Y62" s="22"/>
      <c r="Z62" s="22"/>
      <c r="AA62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4"/>
  <sheetViews>
    <sheetView zoomScale="70" zoomScaleNormal="70" workbookViewId="0">
      <pane xSplit="2" ySplit="4" topLeftCell="W10" activePane="bottomRight" state="frozen"/>
      <selection pane="topRight" activeCell="C1" sqref="C1"/>
      <selection pane="bottomLeft" activeCell="A5" sqref="A5"/>
      <selection pane="bottomRight" activeCell="Z37" sqref="Z37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5" width="10" style="4" customWidth="1"/>
    <col min="6" max="8" width="14" style="4" customWidth="1"/>
    <col min="9" max="19" width="13" style="4" customWidth="1"/>
    <col min="20" max="20" width="16" style="4" customWidth="1"/>
    <col min="21" max="27" width="24" style="2" customWidth="1"/>
  </cols>
  <sheetData>
    <row r="1" spans="1:27" ht="15" customHeight="1" x14ac:dyDescent="0.25">
      <c r="A1" s="5" t="s">
        <v>253</v>
      </c>
    </row>
    <row r="2" spans="1:27" ht="15" customHeight="1" x14ac:dyDescent="0.25">
      <c r="A2" s="6" t="s">
        <v>96</v>
      </c>
    </row>
    <row r="4" spans="1:27" ht="51.75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101</v>
      </c>
      <c r="F4" s="20" t="s">
        <v>102</v>
      </c>
      <c r="G4" s="20" t="s">
        <v>103</v>
      </c>
      <c r="H4" s="20" t="s">
        <v>104</v>
      </c>
      <c r="I4" s="20" t="s">
        <v>105</v>
      </c>
      <c r="J4" s="20" t="s">
        <v>106</v>
      </c>
      <c r="K4" s="20" t="s">
        <v>107</v>
      </c>
      <c r="L4" s="20" t="s">
        <v>108</v>
      </c>
      <c r="M4" s="20" t="s">
        <v>109</v>
      </c>
      <c r="N4" s="20" t="s">
        <v>110</v>
      </c>
      <c r="O4" s="20" t="s">
        <v>111</v>
      </c>
      <c r="P4" s="20" t="s">
        <v>112</v>
      </c>
      <c r="Q4" s="20" t="s">
        <v>113</v>
      </c>
      <c r="R4" s="20" t="s">
        <v>114</v>
      </c>
      <c r="S4" s="20" t="s">
        <v>115</v>
      </c>
      <c r="T4" s="20" t="s">
        <v>116</v>
      </c>
      <c r="U4" s="20" t="s">
        <v>117</v>
      </c>
      <c r="V4" s="20" t="s">
        <v>118</v>
      </c>
      <c r="W4" s="20" t="s">
        <v>119</v>
      </c>
      <c r="X4" s="20" t="s">
        <v>120</v>
      </c>
      <c r="Y4" s="20" t="s">
        <v>121</v>
      </c>
      <c r="Z4" s="20" t="s">
        <v>122</v>
      </c>
      <c r="AA4" s="20" t="s">
        <v>123</v>
      </c>
    </row>
    <row r="5" spans="1:27" ht="15" customHeight="1" x14ac:dyDescent="0.25">
      <c r="A5" s="8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16">
        <v>87.1</v>
      </c>
      <c r="G5" s="16">
        <v>99.63</v>
      </c>
      <c r="H5" s="13">
        <f t="shared" ref="H5:H36" si="0">IF(G5="",F5,G5)</f>
        <v>99.63</v>
      </c>
      <c r="I5" s="21">
        <v>1</v>
      </c>
      <c r="J5" s="21">
        <v>1</v>
      </c>
      <c r="K5" s="21">
        <v>0</v>
      </c>
      <c r="L5" s="15">
        <v>1.1299999999999999E-2</v>
      </c>
      <c r="M5" s="15">
        <v>1.0200000000000001E-2</v>
      </c>
      <c r="N5" s="14">
        <f>I5*Resumen!$C$6+J5*Resumen!$C$7+K5*Resumen!$C$8</f>
        <v>0.9</v>
      </c>
      <c r="O5" s="13">
        <f t="shared" ref="O5:O36" si="1">H5*N5</f>
        <v>89.667000000000002</v>
      </c>
      <c r="P5" s="13">
        <f t="shared" ref="P5:P36" si="2">H5-O5</f>
        <v>9.9629999999999939</v>
      </c>
      <c r="Q5" s="14">
        <f t="shared" ref="Q5:Q36" si="3">IF(L5&gt;0,MIN(1,M5/L5,IF(K5=0,N5,1)),0)</f>
        <v>0.9</v>
      </c>
      <c r="R5" s="13">
        <f t="shared" ref="R5:R36" si="4">H5*Q5</f>
        <v>89.667000000000002</v>
      </c>
      <c r="S5" s="13">
        <f t="shared" ref="S5:S36" si="5">IF(N5&gt;0,H5,0)</f>
        <v>99.63</v>
      </c>
      <c r="T5" s="8" t="str">
        <f t="shared" ref="T5:T36" si="6">IF(N5&gt;0,"Con entregas","Sin entregas")</f>
        <v>Con entregas</v>
      </c>
      <c r="U5" s="14">
        <f>I5*Resumen!$C$6+J5*Resumen!$C$7+K5*Resumen!$C$9</f>
        <v>0.9</v>
      </c>
      <c r="V5" s="13">
        <f t="shared" ref="V5:V36" si="7">H5*U5</f>
        <v>89.667000000000002</v>
      </c>
      <c r="W5" s="21">
        <f t="shared" ref="W5:W36" si="8">IF(COUNTIF(I5:K5,1)&gt;0,1,0)</f>
        <v>1</v>
      </c>
      <c r="X5" s="14">
        <f t="shared" ref="X5:X36" si="9">COUNTIF(I5:K5,1)/3</f>
        <v>0.66666666666666663</v>
      </c>
      <c r="Y5" s="14">
        <f t="shared" ref="Y5:Y36" si="10">N5</f>
        <v>0.9</v>
      </c>
      <c r="Z5" s="14">
        <f t="shared" ref="Z5:Z36" si="11">Y5-U5</f>
        <v>0</v>
      </c>
      <c r="AA5" s="28" t="s">
        <v>129</v>
      </c>
    </row>
    <row r="6" spans="1:27" ht="15" customHeight="1" x14ac:dyDescent="0.25">
      <c r="A6" s="8" t="s">
        <v>130</v>
      </c>
      <c r="B6" s="8" t="s">
        <v>131</v>
      </c>
      <c r="C6" s="8" t="s">
        <v>126</v>
      </c>
      <c r="D6" s="8" t="s">
        <v>127</v>
      </c>
      <c r="E6" s="8" t="s">
        <v>128</v>
      </c>
      <c r="F6" s="16">
        <v>33.799999999999997</v>
      </c>
      <c r="H6" s="13">
        <f t="shared" si="0"/>
        <v>33.799999999999997</v>
      </c>
      <c r="I6" s="21">
        <v>0</v>
      </c>
      <c r="J6" s="21">
        <v>0</v>
      </c>
      <c r="K6" s="21">
        <v>0</v>
      </c>
      <c r="N6" s="14">
        <f>I6*Resumen!$C$6+J6*Resumen!$C$7+K6*Resumen!$C$8</f>
        <v>0</v>
      </c>
      <c r="O6" s="13">
        <f t="shared" si="1"/>
        <v>0</v>
      </c>
      <c r="P6" s="13">
        <f t="shared" si="2"/>
        <v>33.799999999999997</v>
      </c>
      <c r="Q6" s="14">
        <f t="shared" si="3"/>
        <v>0</v>
      </c>
      <c r="R6" s="13">
        <f t="shared" si="4"/>
        <v>0</v>
      </c>
      <c r="S6" s="13">
        <f t="shared" si="5"/>
        <v>0</v>
      </c>
      <c r="T6" s="8" t="str">
        <f t="shared" si="6"/>
        <v>Sin entregas</v>
      </c>
      <c r="U6" s="14">
        <f>I6*Resumen!$C$6+J6*Resumen!$C$7+K6*Resumen!$C$9</f>
        <v>0</v>
      </c>
      <c r="V6" s="13">
        <f t="shared" si="7"/>
        <v>0</v>
      </c>
      <c r="W6" s="21">
        <f t="shared" si="8"/>
        <v>0</v>
      </c>
      <c r="X6" s="14">
        <f t="shared" si="9"/>
        <v>0</v>
      </c>
      <c r="Y6" s="14">
        <f t="shared" si="10"/>
        <v>0</v>
      </c>
      <c r="Z6" s="14">
        <f t="shared" si="11"/>
        <v>0</v>
      </c>
      <c r="AA6" s="28" t="s">
        <v>129</v>
      </c>
    </row>
    <row r="7" spans="1:27" ht="15" customHeight="1" x14ac:dyDescent="0.25">
      <c r="A7" s="8" t="s">
        <v>132</v>
      </c>
      <c r="B7" s="8" t="s">
        <v>133</v>
      </c>
      <c r="C7" s="8" t="s">
        <v>126</v>
      </c>
      <c r="D7" s="8" t="s">
        <v>127</v>
      </c>
      <c r="E7" s="8" t="s">
        <v>128</v>
      </c>
      <c r="F7" s="16">
        <v>300.3</v>
      </c>
      <c r="G7" s="16">
        <v>243.43</v>
      </c>
      <c r="H7" s="13">
        <f t="shared" si="0"/>
        <v>243.43</v>
      </c>
      <c r="I7" s="21">
        <v>1</v>
      </c>
      <c r="J7" s="21">
        <v>1</v>
      </c>
      <c r="K7" s="21">
        <v>1</v>
      </c>
      <c r="L7" s="15">
        <v>2.7699999999999999E-2</v>
      </c>
      <c r="M7" s="15">
        <v>2.7E-2</v>
      </c>
      <c r="N7" s="14">
        <f>I7*Resumen!$C$6+J7*Resumen!$C$7+K7*Resumen!$C$8</f>
        <v>0.9</v>
      </c>
      <c r="O7" s="13">
        <f t="shared" si="1"/>
        <v>219.08700000000002</v>
      </c>
      <c r="P7" s="13">
        <f t="shared" si="2"/>
        <v>24.342999999999989</v>
      </c>
      <c r="Q7" s="14">
        <f t="shared" si="3"/>
        <v>0.97472924187725629</v>
      </c>
      <c r="R7" s="13">
        <f t="shared" si="4"/>
        <v>237.27833935018052</v>
      </c>
      <c r="S7" s="13">
        <f t="shared" si="5"/>
        <v>243.43</v>
      </c>
      <c r="T7" s="8" t="str">
        <f t="shared" si="6"/>
        <v>Con entregas</v>
      </c>
      <c r="U7" s="14">
        <f>I7*Resumen!$C$6+J7*Resumen!$C$7+K7*Resumen!$C$9</f>
        <v>1</v>
      </c>
      <c r="V7" s="13">
        <f t="shared" si="7"/>
        <v>243.43</v>
      </c>
      <c r="W7" s="21">
        <f t="shared" si="8"/>
        <v>1</v>
      </c>
      <c r="X7" s="14">
        <f t="shared" si="9"/>
        <v>1</v>
      </c>
      <c r="Y7" s="14">
        <f t="shared" si="10"/>
        <v>0.9</v>
      </c>
      <c r="Z7" s="14">
        <f t="shared" si="11"/>
        <v>-9.9999999999999978E-2</v>
      </c>
      <c r="AA7" s="28" t="s">
        <v>129</v>
      </c>
    </row>
    <row r="8" spans="1:27" ht="15" customHeight="1" x14ac:dyDescent="0.25">
      <c r="A8" s="8" t="s">
        <v>136</v>
      </c>
      <c r="B8" s="8" t="s">
        <v>137</v>
      </c>
      <c r="C8" s="8" t="s">
        <v>138</v>
      </c>
      <c r="D8" s="8" t="s">
        <v>139</v>
      </c>
      <c r="E8" s="8" t="s">
        <v>128</v>
      </c>
      <c r="F8" s="16">
        <v>83.2</v>
      </c>
      <c r="H8" s="13">
        <f t="shared" si="0"/>
        <v>83.2</v>
      </c>
      <c r="I8" s="21">
        <v>0</v>
      </c>
      <c r="J8" s="21">
        <v>0</v>
      </c>
      <c r="K8" s="21">
        <v>0</v>
      </c>
      <c r="N8" s="14">
        <f>I8*Resumen!$C$6+J8*Resumen!$C$7+K8*Resumen!$C$8</f>
        <v>0</v>
      </c>
      <c r="O8" s="13">
        <f t="shared" si="1"/>
        <v>0</v>
      </c>
      <c r="P8" s="13">
        <f t="shared" si="2"/>
        <v>83.2</v>
      </c>
      <c r="Q8" s="14">
        <f t="shared" si="3"/>
        <v>0</v>
      </c>
      <c r="R8" s="13">
        <f t="shared" si="4"/>
        <v>0</v>
      </c>
      <c r="S8" s="13">
        <f t="shared" si="5"/>
        <v>0</v>
      </c>
      <c r="T8" s="8" t="str">
        <f t="shared" si="6"/>
        <v>Sin entregas</v>
      </c>
      <c r="U8" s="14">
        <f>I8*Resumen!$C$6+J8*Resumen!$C$7+K8*Resumen!$C$9</f>
        <v>0</v>
      </c>
      <c r="V8" s="13">
        <f t="shared" si="7"/>
        <v>0</v>
      </c>
      <c r="W8" s="21">
        <f t="shared" si="8"/>
        <v>0</v>
      </c>
      <c r="X8" s="14">
        <f t="shared" si="9"/>
        <v>0</v>
      </c>
      <c r="Y8" s="14">
        <f t="shared" si="10"/>
        <v>0</v>
      </c>
      <c r="Z8" s="14">
        <f t="shared" si="11"/>
        <v>0</v>
      </c>
      <c r="AA8" s="28" t="s">
        <v>129</v>
      </c>
    </row>
    <row r="9" spans="1:27" ht="15" customHeight="1" x14ac:dyDescent="0.25">
      <c r="A9" s="8" t="s">
        <v>143</v>
      </c>
      <c r="B9" s="8" t="s">
        <v>144</v>
      </c>
      <c r="C9" s="8" t="s">
        <v>126</v>
      </c>
      <c r="D9" s="8" t="s">
        <v>142</v>
      </c>
      <c r="E9" s="8" t="s">
        <v>128</v>
      </c>
      <c r="F9" s="16">
        <v>91</v>
      </c>
      <c r="H9" s="13">
        <f t="shared" si="0"/>
        <v>91</v>
      </c>
      <c r="I9" s="21">
        <v>0</v>
      </c>
      <c r="J9" s="21">
        <v>0</v>
      </c>
      <c r="K9" s="21">
        <v>0</v>
      </c>
      <c r="N9" s="14">
        <f>I9*Resumen!$C$6+J9*Resumen!$C$7+K9*Resumen!$C$8</f>
        <v>0</v>
      </c>
      <c r="O9" s="13">
        <f t="shared" si="1"/>
        <v>0</v>
      </c>
      <c r="P9" s="13">
        <f t="shared" si="2"/>
        <v>91</v>
      </c>
      <c r="Q9" s="14">
        <f t="shared" si="3"/>
        <v>0</v>
      </c>
      <c r="R9" s="13">
        <f t="shared" si="4"/>
        <v>0</v>
      </c>
      <c r="S9" s="13">
        <f t="shared" si="5"/>
        <v>0</v>
      </c>
      <c r="T9" s="8" t="str">
        <f t="shared" si="6"/>
        <v>Sin entregas</v>
      </c>
      <c r="U9" s="14">
        <f>I9*Resumen!$C$6+J9*Resumen!$C$7+K9*Resumen!$C$9</f>
        <v>0</v>
      </c>
      <c r="V9" s="13">
        <f t="shared" si="7"/>
        <v>0</v>
      </c>
      <c r="W9" s="21">
        <f t="shared" si="8"/>
        <v>0</v>
      </c>
      <c r="X9" s="14">
        <f t="shared" si="9"/>
        <v>0</v>
      </c>
      <c r="Y9" s="14">
        <f t="shared" si="10"/>
        <v>0</v>
      </c>
      <c r="Z9" s="14">
        <f t="shared" si="11"/>
        <v>0</v>
      </c>
      <c r="AA9" s="28" t="s">
        <v>129</v>
      </c>
    </row>
    <row r="10" spans="1:27" ht="15" customHeight="1" x14ac:dyDescent="0.25">
      <c r="A10" s="8" t="s">
        <v>254</v>
      </c>
      <c r="B10" s="8" t="s">
        <v>255</v>
      </c>
      <c r="C10" s="8" t="s">
        <v>256</v>
      </c>
      <c r="D10" s="8" t="s">
        <v>257</v>
      </c>
      <c r="E10" s="8" t="s">
        <v>128</v>
      </c>
      <c r="F10" s="16">
        <v>63.7</v>
      </c>
      <c r="H10" s="13">
        <f t="shared" si="0"/>
        <v>63.7</v>
      </c>
      <c r="I10" s="21">
        <v>0</v>
      </c>
      <c r="J10" s="21">
        <v>0</v>
      </c>
      <c r="K10" s="21">
        <v>0</v>
      </c>
      <c r="N10" s="14">
        <f>I10*Resumen!$C$6+J10*Resumen!$C$7+K10*Resumen!$C$8</f>
        <v>0</v>
      </c>
      <c r="O10" s="13">
        <f t="shared" si="1"/>
        <v>0</v>
      </c>
      <c r="P10" s="13">
        <f t="shared" si="2"/>
        <v>63.7</v>
      </c>
      <c r="Q10" s="14">
        <f t="shared" si="3"/>
        <v>0</v>
      </c>
      <c r="R10" s="13">
        <f t="shared" si="4"/>
        <v>0</v>
      </c>
      <c r="S10" s="13">
        <f t="shared" si="5"/>
        <v>0</v>
      </c>
      <c r="T10" s="8" t="str">
        <f t="shared" si="6"/>
        <v>Sin entregas</v>
      </c>
      <c r="U10" s="14">
        <f>I10*Resumen!$C$6+J10*Resumen!$C$7+K10*Resumen!$C$9</f>
        <v>0</v>
      </c>
      <c r="V10" s="13">
        <f t="shared" si="7"/>
        <v>0</v>
      </c>
      <c r="W10" s="21">
        <f t="shared" si="8"/>
        <v>0</v>
      </c>
      <c r="X10" s="14">
        <f t="shared" si="9"/>
        <v>0</v>
      </c>
      <c r="Y10" s="14">
        <f t="shared" si="10"/>
        <v>0</v>
      </c>
      <c r="Z10" s="14">
        <f t="shared" si="11"/>
        <v>0</v>
      </c>
      <c r="AA10" s="28" t="s">
        <v>129</v>
      </c>
    </row>
    <row r="11" spans="1:27" ht="15" customHeight="1" x14ac:dyDescent="0.25">
      <c r="A11" s="8" t="s">
        <v>147</v>
      </c>
      <c r="B11" s="8" t="s">
        <v>148</v>
      </c>
      <c r="C11" s="8" t="s">
        <v>149</v>
      </c>
      <c r="D11" s="8" t="s">
        <v>150</v>
      </c>
      <c r="E11" s="8" t="s">
        <v>128</v>
      </c>
      <c r="F11" s="16">
        <v>161.19999999999999</v>
      </c>
      <c r="H11" s="13">
        <f t="shared" si="0"/>
        <v>161.19999999999999</v>
      </c>
      <c r="I11" s="21">
        <v>0</v>
      </c>
      <c r="J11" s="21">
        <v>0</v>
      </c>
      <c r="K11" s="21">
        <v>0</v>
      </c>
      <c r="N11" s="14">
        <f>I11*Resumen!$C$6+J11*Resumen!$C$7+K11*Resumen!$C$8</f>
        <v>0</v>
      </c>
      <c r="O11" s="13">
        <f t="shared" si="1"/>
        <v>0</v>
      </c>
      <c r="P11" s="13">
        <f t="shared" si="2"/>
        <v>161.19999999999999</v>
      </c>
      <c r="Q11" s="14">
        <f t="shared" si="3"/>
        <v>0</v>
      </c>
      <c r="R11" s="13">
        <f t="shared" si="4"/>
        <v>0</v>
      </c>
      <c r="S11" s="13">
        <f t="shared" si="5"/>
        <v>0</v>
      </c>
      <c r="T11" s="8" t="str">
        <f t="shared" si="6"/>
        <v>Sin entregas</v>
      </c>
      <c r="U11" s="14">
        <f>I11*Resumen!$C$6+J11*Resumen!$C$7+K11*Resumen!$C$9</f>
        <v>0</v>
      </c>
      <c r="V11" s="13">
        <f t="shared" si="7"/>
        <v>0</v>
      </c>
      <c r="W11" s="21">
        <f t="shared" si="8"/>
        <v>0</v>
      </c>
      <c r="X11" s="14">
        <f t="shared" si="9"/>
        <v>0</v>
      </c>
      <c r="Y11" s="14">
        <f t="shared" si="10"/>
        <v>0</v>
      </c>
      <c r="Z11" s="14">
        <f t="shared" si="11"/>
        <v>0</v>
      </c>
      <c r="AA11" s="28" t="s">
        <v>129</v>
      </c>
    </row>
    <row r="12" spans="1:27" ht="15" customHeight="1" x14ac:dyDescent="0.25">
      <c r="A12" s="8" t="s">
        <v>151</v>
      </c>
      <c r="B12" s="8" t="s">
        <v>152</v>
      </c>
      <c r="C12" s="8" t="s">
        <v>149</v>
      </c>
      <c r="D12" s="8" t="s">
        <v>150</v>
      </c>
      <c r="E12" s="8" t="s">
        <v>128</v>
      </c>
      <c r="F12" s="16">
        <v>331.5</v>
      </c>
      <c r="H12" s="13">
        <f t="shared" si="0"/>
        <v>331.5</v>
      </c>
      <c r="I12" s="21">
        <v>0</v>
      </c>
      <c r="J12" s="21">
        <v>0</v>
      </c>
      <c r="K12" s="21">
        <v>0</v>
      </c>
      <c r="N12" s="14">
        <f>I12*Resumen!$C$6+J12*Resumen!$C$7+K12*Resumen!$C$8</f>
        <v>0</v>
      </c>
      <c r="O12" s="13">
        <f t="shared" si="1"/>
        <v>0</v>
      </c>
      <c r="P12" s="13">
        <f t="shared" si="2"/>
        <v>331.5</v>
      </c>
      <c r="Q12" s="14">
        <f t="shared" si="3"/>
        <v>0</v>
      </c>
      <c r="R12" s="13">
        <f t="shared" si="4"/>
        <v>0</v>
      </c>
      <c r="S12" s="13">
        <f t="shared" si="5"/>
        <v>0</v>
      </c>
      <c r="T12" s="8" t="str">
        <f t="shared" si="6"/>
        <v>Sin entregas</v>
      </c>
      <c r="U12" s="14">
        <f>I12*Resumen!$C$6+J12*Resumen!$C$7+K12*Resumen!$C$9</f>
        <v>0</v>
      </c>
      <c r="V12" s="13">
        <f t="shared" si="7"/>
        <v>0</v>
      </c>
      <c r="W12" s="21">
        <f t="shared" si="8"/>
        <v>0</v>
      </c>
      <c r="X12" s="14">
        <f t="shared" si="9"/>
        <v>0</v>
      </c>
      <c r="Y12" s="14">
        <f t="shared" si="10"/>
        <v>0</v>
      </c>
      <c r="Z12" s="14">
        <f t="shared" si="11"/>
        <v>0</v>
      </c>
      <c r="AA12" s="28" t="s">
        <v>129</v>
      </c>
    </row>
    <row r="13" spans="1:27" ht="15" customHeight="1" x14ac:dyDescent="0.25">
      <c r="A13" s="8" t="s">
        <v>153</v>
      </c>
      <c r="B13" s="8" t="s">
        <v>154</v>
      </c>
      <c r="C13" s="8" t="s">
        <v>149</v>
      </c>
      <c r="D13" s="8" t="s">
        <v>150</v>
      </c>
      <c r="E13" s="8" t="s">
        <v>128</v>
      </c>
      <c r="F13" s="16">
        <v>297.7</v>
      </c>
      <c r="G13" s="16">
        <v>371.25</v>
      </c>
      <c r="H13" s="13">
        <f t="shared" si="0"/>
        <v>371.25</v>
      </c>
      <c r="I13" s="21">
        <v>1</v>
      </c>
      <c r="J13" s="21">
        <v>1</v>
      </c>
      <c r="K13" s="21">
        <v>1</v>
      </c>
      <c r="L13" s="15">
        <v>4.2299999999999997E-2</v>
      </c>
      <c r="M13" s="15">
        <v>4.1300000000000003E-2</v>
      </c>
      <c r="N13" s="14">
        <f>I13*Resumen!$C$6+J13*Resumen!$C$7+K13*Resumen!$C$8</f>
        <v>0.9</v>
      </c>
      <c r="O13" s="13">
        <f t="shared" si="1"/>
        <v>334.125</v>
      </c>
      <c r="P13" s="13">
        <f t="shared" si="2"/>
        <v>37.125</v>
      </c>
      <c r="Q13" s="14">
        <f t="shared" si="3"/>
        <v>0.97635933806146591</v>
      </c>
      <c r="R13" s="13">
        <f t="shared" si="4"/>
        <v>362.47340425531922</v>
      </c>
      <c r="S13" s="13">
        <f t="shared" si="5"/>
        <v>371.25</v>
      </c>
      <c r="T13" s="8" t="str">
        <f t="shared" si="6"/>
        <v>Con entregas</v>
      </c>
      <c r="U13" s="14">
        <f>I13*Resumen!$C$6+J13*Resumen!$C$7+K13*Resumen!$C$9</f>
        <v>1</v>
      </c>
      <c r="V13" s="13">
        <f t="shared" si="7"/>
        <v>371.25</v>
      </c>
      <c r="W13" s="21">
        <f t="shared" si="8"/>
        <v>1</v>
      </c>
      <c r="X13" s="14">
        <f t="shared" si="9"/>
        <v>1</v>
      </c>
      <c r="Y13" s="14">
        <f t="shared" si="10"/>
        <v>0.9</v>
      </c>
      <c r="Z13" s="14">
        <f t="shared" si="11"/>
        <v>-9.9999999999999978E-2</v>
      </c>
      <c r="AA13" s="28" t="s">
        <v>129</v>
      </c>
    </row>
    <row r="14" spans="1:27" ht="15" customHeight="1" x14ac:dyDescent="0.25">
      <c r="A14" s="8" t="s">
        <v>258</v>
      </c>
      <c r="B14" s="8" t="s">
        <v>259</v>
      </c>
      <c r="C14" s="8" t="s">
        <v>157</v>
      </c>
      <c r="D14" s="8" t="s">
        <v>260</v>
      </c>
      <c r="E14" s="8" t="s">
        <v>128</v>
      </c>
      <c r="F14" s="16">
        <v>374.4</v>
      </c>
      <c r="H14" s="13">
        <f t="shared" si="0"/>
        <v>374.4</v>
      </c>
      <c r="I14" s="21">
        <v>0</v>
      </c>
      <c r="J14" s="21">
        <v>0</v>
      </c>
      <c r="K14" s="21">
        <v>0</v>
      </c>
      <c r="N14" s="14">
        <f>I14*Resumen!$C$6+J14*Resumen!$C$7+K14*Resumen!$C$8</f>
        <v>0</v>
      </c>
      <c r="O14" s="13">
        <f t="shared" si="1"/>
        <v>0</v>
      </c>
      <c r="P14" s="13">
        <f t="shared" si="2"/>
        <v>374.4</v>
      </c>
      <c r="Q14" s="14">
        <f t="shared" si="3"/>
        <v>0</v>
      </c>
      <c r="R14" s="13">
        <f t="shared" si="4"/>
        <v>0</v>
      </c>
      <c r="S14" s="13">
        <f t="shared" si="5"/>
        <v>0</v>
      </c>
      <c r="T14" s="8" t="str">
        <f t="shared" si="6"/>
        <v>Sin entregas</v>
      </c>
      <c r="U14" s="14">
        <f>I14*Resumen!$C$6+J14*Resumen!$C$7+K14*Resumen!$C$9</f>
        <v>0</v>
      </c>
      <c r="V14" s="13">
        <f t="shared" si="7"/>
        <v>0</v>
      </c>
      <c r="W14" s="21">
        <f t="shared" si="8"/>
        <v>0</v>
      </c>
      <c r="X14" s="14">
        <f t="shared" si="9"/>
        <v>0</v>
      </c>
      <c r="Y14" s="14">
        <f t="shared" si="10"/>
        <v>0</v>
      </c>
      <c r="Z14" s="14">
        <f t="shared" si="11"/>
        <v>0</v>
      </c>
      <c r="AA14" s="28" t="s">
        <v>129</v>
      </c>
    </row>
    <row r="15" spans="1:27" ht="15" customHeight="1" x14ac:dyDescent="0.25">
      <c r="A15" s="8" t="s">
        <v>261</v>
      </c>
      <c r="B15" s="8" t="s">
        <v>262</v>
      </c>
      <c r="C15" s="8" t="s">
        <v>157</v>
      </c>
      <c r="D15" s="8" t="s">
        <v>158</v>
      </c>
      <c r="E15" s="8" t="s">
        <v>128</v>
      </c>
      <c r="F15" s="16">
        <v>106.6</v>
      </c>
      <c r="H15" s="13">
        <f t="shared" si="0"/>
        <v>106.6</v>
      </c>
      <c r="I15" s="21">
        <v>0</v>
      </c>
      <c r="J15" s="21">
        <v>0</v>
      </c>
      <c r="K15" s="21">
        <v>0</v>
      </c>
      <c r="N15" s="14">
        <f>I15*Resumen!$C$6+J15*Resumen!$C$7+K15*Resumen!$C$8</f>
        <v>0</v>
      </c>
      <c r="O15" s="13">
        <f t="shared" si="1"/>
        <v>0</v>
      </c>
      <c r="P15" s="13">
        <f t="shared" si="2"/>
        <v>106.6</v>
      </c>
      <c r="Q15" s="14">
        <f t="shared" si="3"/>
        <v>0</v>
      </c>
      <c r="R15" s="13">
        <f t="shared" si="4"/>
        <v>0</v>
      </c>
      <c r="S15" s="13">
        <f t="shared" si="5"/>
        <v>0</v>
      </c>
      <c r="T15" s="8" t="str">
        <f t="shared" si="6"/>
        <v>Sin entregas</v>
      </c>
      <c r="U15" s="14">
        <f>I15*Resumen!$C$6+J15*Resumen!$C$7+K15*Resumen!$C$9</f>
        <v>0</v>
      </c>
      <c r="V15" s="13">
        <f t="shared" si="7"/>
        <v>0</v>
      </c>
      <c r="W15" s="21">
        <f t="shared" si="8"/>
        <v>0</v>
      </c>
      <c r="X15" s="14">
        <f t="shared" si="9"/>
        <v>0</v>
      </c>
      <c r="Y15" s="14">
        <f t="shared" si="10"/>
        <v>0</v>
      </c>
      <c r="Z15" s="14">
        <f t="shared" si="11"/>
        <v>0</v>
      </c>
      <c r="AA15" s="28" t="s">
        <v>129</v>
      </c>
    </row>
    <row r="16" spans="1:27" ht="15" customHeight="1" x14ac:dyDescent="0.25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128</v>
      </c>
      <c r="F16" s="16">
        <v>263.89999999999998</v>
      </c>
      <c r="H16" s="13">
        <f t="shared" si="0"/>
        <v>263.89999999999998</v>
      </c>
      <c r="I16" s="21">
        <v>0</v>
      </c>
      <c r="J16" s="21">
        <v>0</v>
      </c>
      <c r="K16" s="21">
        <v>0</v>
      </c>
      <c r="N16" s="14">
        <f>I16*Resumen!$C$6+J16*Resumen!$C$7+K16*Resumen!$C$8</f>
        <v>0</v>
      </c>
      <c r="O16" s="13">
        <f t="shared" si="1"/>
        <v>0</v>
      </c>
      <c r="P16" s="13">
        <f t="shared" si="2"/>
        <v>263.89999999999998</v>
      </c>
      <c r="Q16" s="14">
        <f t="shared" si="3"/>
        <v>0</v>
      </c>
      <c r="R16" s="13">
        <f t="shared" si="4"/>
        <v>0</v>
      </c>
      <c r="S16" s="13">
        <f t="shared" si="5"/>
        <v>0</v>
      </c>
      <c r="T16" s="8" t="str">
        <f t="shared" si="6"/>
        <v>Sin entregas</v>
      </c>
      <c r="U16" s="14">
        <f>I16*Resumen!$C$6+J16*Resumen!$C$7+K16*Resumen!$C$9</f>
        <v>0</v>
      </c>
      <c r="V16" s="13">
        <f t="shared" si="7"/>
        <v>0</v>
      </c>
      <c r="W16" s="21">
        <f t="shared" si="8"/>
        <v>0</v>
      </c>
      <c r="X16" s="14">
        <f t="shared" si="9"/>
        <v>0</v>
      </c>
      <c r="Y16" s="14">
        <f t="shared" si="10"/>
        <v>0</v>
      </c>
      <c r="Z16" s="14">
        <f t="shared" si="11"/>
        <v>0</v>
      </c>
      <c r="AA16" s="28" t="s">
        <v>129</v>
      </c>
    </row>
    <row r="17" spans="1:27" ht="15" customHeight="1" x14ac:dyDescent="0.25">
      <c r="A17" s="8" t="s">
        <v>162</v>
      </c>
      <c r="B17" s="8" t="s">
        <v>163</v>
      </c>
      <c r="C17" s="8" t="s">
        <v>149</v>
      </c>
      <c r="D17" s="8" t="s">
        <v>161</v>
      </c>
      <c r="E17" s="8" t="s">
        <v>128</v>
      </c>
      <c r="F17" s="16">
        <v>15.6</v>
      </c>
      <c r="H17" s="13">
        <f t="shared" si="0"/>
        <v>15.6</v>
      </c>
      <c r="I17" s="21">
        <v>0</v>
      </c>
      <c r="J17" s="21">
        <v>0</v>
      </c>
      <c r="K17" s="21">
        <v>0</v>
      </c>
      <c r="N17" s="14">
        <f>I17*Resumen!$C$6+J17*Resumen!$C$7+K17*Resumen!$C$8</f>
        <v>0</v>
      </c>
      <c r="O17" s="13">
        <f t="shared" si="1"/>
        <v>0</v>
      </c>
      <c r="P17" s="13">
        <f t="shared" si="2"/>
        <v>15.6</v>
      </c>
      <c r="Q17" s="14">
        <f t="shared" si="3"/>
        <v>0</v>
      </c>
      <c r="R17" s="13">
        <f t="shared" si="4"/>
        <v>0</v>
      </c>
      <c r="S17" s="13">
        <f t="shared" si="5"/>
        <v>0</v>
      </c>
      <c r="T17" s="8" t="str">
        <f t="shared" si="6"/>
        <v>Sin entregas</v>
      </c>
      <c r="U17" s="14">
        <f>I17*Resumen!$C$6+J17*Resumen!$C$7+K17*Resumen!$C$9</f>
        <v>0</v>
      </c>
      <c r="V17" s="13">
        <f t="shared" si="7"/>
        <v>0</v>
      </c>
      <c r="W17" s="21">
        <f t="shared" si="8"/>
        <v>0</v>
      </c>
      <c r="X17" s="14">
        <f t="shared" si="9"/>
        <v>0</v>
      </c>
      <c r="Y17" s="14">
        <f t="shared" si="10"/>
        <v>0</v>
      </c>
      <c r="Z17" s="14">
        <f t="shared" si="11"/>
        <v>0</v>
      </c>
      <c r="AA17" s="28" t="s">
        <v>129</v>
      </c>
    </row>
    <row r="18" spans="1:27" ht="15" customHeight="1" x14ac:dyDescent="0.25">
      <c r="A18" s="8" t="s">
        <v>263</v>
      </c>
      <c r="B18" s="8" t="s">
        <v>264</v>
      </c>
      <c r="C18" s="8" t="s">
        <v>138</v>
      </c>
      <c r="D18" s="8" t="s">
        <v>161</v>
      </c>
      <c r="E18" s="8" t="s">
        <v>128</v>
      </c>
      <c r="F18" s="16">
        <v>70.2</v>
      </c>
      <c r="G18" s="16">
        <v>62.56</v>
      </c>
      <c r="H18" s="13">
        <f t="shared" si="0"/>
        <v>62.56</v>
      </c>
      <c r="I18" s="21">
        <v>1</v>
      </c>
      <c r="J18" s="21">
        <v>1</v>
      </c>
      <c r="K18" s="21">
        <v>0</v>
      </c>
      <c r="L18" s="15">
        <v>7.1000000000000004E-3</v>
      </c>
      <c r="M18" s="15">
        <v>5.7000000000000002E-3</v>
      </c>
      <c r="N18" s="14">
        <f>I18*Resumen!$C$6+J18*Resumen!$C$7+K18*Resumen!$C$8</f>
        <v>0.9</v>
      </c>
      <c r="O18" s="13">
        <f t="shared" si="1"/>
        <v>56.304000000000002</v>
      </c>
      <c r="P18" s="13">
        <f t="shared" si="2"/>
        <v>6.2560000000000002</v>
      </c>
      <c r="Q18" s="14">
        <f t="shared" si="3"/>
        <v>0.80281690140845063</v>
      </c>
      <c r="R18" s="13">
        <f t="shared" si="4"/>
        <v>50.224225352112676</v>
      </c>
      <c r="S18" s="13">
        <f t="shared" si="5"/>
        <v>62.56</v>
      </c>
      <c r="T18" s="8" t="str">
        <f t="shared" si="6"/>
        <v>Con entregas</v>
      </c>
      <c r="U18" s="14">
        <f>I18*Resumen!$C$6+J18*Resumen!$C$7+K18*Resumen!$C$9</f>
        <v>0.9</v>
      </c>
      <c r="V18" s="13">
        <f t="shared" si="7"/>
        <v>56.304000000000002</v>
      </c>
      <c r="W18" s="21">
        <f t="shared" si="8"/>
        <v>1</v>
      </c>
      <c r="X18" s="14">
        <f t="shared" si="9"/>
        <v>0.66666666666666663</v>
      </c>
      <c r="Y18" s="14">
        <f t="shared" si="10"/>
        <v>0.9</v>
      </c>
      <c r="Z18" s="14">
        <f t="shared" si="11"/>
        <v>0</v>
      </c>
      <c r="AA18" s="28" t="s">
        <v>129</v>
      </c>
    </row>
    <row r="19" spans="1:27" ht="15" customHeight="1" x14ac:dyDescent="0.25">
      <c r="A19" s="8" t="s">
        <v>165</v>
      </c>
      <c r="B19" s="8" t="s">
        <v>166</v>
      </c>
      <c r="C19" s="8" t="s">
        <v>149</v>
      </c>
      <c r="D19" s="8" t="s">
        <v>161</v>
      </c>
      <c r="E19" s="8" t="s">
        <v>128</v>
      </c>
      <c r="F19" s="16">
        <v>22.1</v>
      </c>
      <c r="H19" s="13">
        <f t="shared" si="0"/>
        <v>22.1</v>
      </c>
      <c r="I19" s="21">
        <v>0</v>
      </c>
      <c r="J19" s="21">
        <v>0</v>
      </c>
      <c r="K19" s="21">
        <v>0</v>
      </c>
      <c r="N19" s="14">
        <f>I19*Resumen!$C$6+J19*Resumen!$C$7+K19*Resumen!$C$8</f>
        <v>0</v>
      </c>
      <c r="O19" s="13">
        <f t="shared" si="1"/>
        <v>0</v>
      </c>
      <c r="P19" s="13">
        <f t="shared" si="2"/>
        <v>22.1</v>
      </c>
      <c r="Q19" s="14">
        <f t="shared" si="3"/>
        <v>0</v>
      </c>
      <c r="R19" s="13">
        <f t="shared" si="4"/>
        <v>0</v>
      </c>
      <c r="S19" s="13">
        <f t="shared" si="5"/>
        <v>0</v>
      </c>
      <c r="T19" s="8" t="str">
        <f t="shared" si="6"/>
        <v>Sin entregas</v>
      </c>
      <c r="U19" s="14">
        <f>I19*Resumen!$C$6+J19*Resumen!$C$7+K19*Resumen!$C$9</f>
        <v>0</v>
      </c>
      <c r="V19" s="13">
        <f t="shared" si="7"/>
        <v>0</v>
      </c>
      <c r="W19" s="21">
        <f t="shared" si="8"/>
        <v>0</v>
      </c>
      <c r="X19" s="14">
        <f t="shared" si="9"/>
        <v>0</v>
      </c>
      <c r="Y19" s="14">
        <f t="shared" si="10"/>
        <v>0</v>
      </c>
      <c r="Z19" s="14">
        <f t="shared" si="11"/>
        <v>0</v>
      </c>
      <c r="AA19" s="28" t="s">
        <v>129</v>
      </c>
    </row>
    <row r="20" spans="1:27" ht="15" customHeight="1" x14ac:dyDescent="0.25">
      <c r="A20" s="8" t="s">
        <v>167</v>
      </c>
      <c r="B20" s="8" t="s">
        <v>168</v>
      </c>
      <c r="C20" s="8" t="s">
        <v>138</v>
      </c>
      <c r="D20" s="8" t="s">
        <v>161</v>
      </c>
      <c r="E20" s="8" t="s">
        <v>128</v>
      </c>
      <c r="F20" s="16">
        <v>76.7</v>
      </c>
      <c r="G20" s="16">
        <v>96.5</v>
      </c>
      <c r="H20" s="13">
        <f t="shared" si="0"/>
        <v>96.5</v>
      </c>
      <c r="I20" s="21">
        <v>1</v>
      </c>
      <c r="J20" s="21">
        <v>1</v>
      </c>
      <c r="K20" s="21">
        <v>0</v>
      </c>
      <c r="L20" s="15">
        <v>1.0999999999999999E-2</v>
      </c>
      <c r="M20" s="15">
        <v>9.9000000000000008E-3</v>
      </c>
      <c r="N20" s="14">
        <f>I20*Resumen!$C$6+J20*Resumen!$C$7+K20*Resumen!$C$8</f>
        <v>0.9</v>
      </c>
      <c r="O20" s="13">
        <f t="shared" si="1"/>
        <v>86.850000000000009</v>
      </c>
      <c r="P20" s="13">
        <f t="shared" si="2"/>
        <v>9.6499999999999915</v>
      </c>
      <c r="Q20" s="14">
        <f t="shared" si="3"/>
        <v>0.9</v>
      </c>
      <c r="R20" s="13">
        <f t="shared" si="4"/>
        <v>86.850000000000009</v>
      </c>
      <c r="S20" s="13">
        <f t="shared" si="5"/>
        <v>96.5</v>
      </c>
      <c r="T20" s="8" t="str">
        <f t="shared" si="6"/>
        <v>Con entregas</v>
      </c>
      <c r="U20" s="14">
        <f>I20*Resumen!$C$6+J20*Resumen!$C$7+K20*Resumen!$C$9</f>
        <v>0.9</v>
      </c>
      <c r="V20" s="13">
        <f t="shared" si="7"/>
        <v>86.850000000000009</v>
      </c>
      <c r="W20" s="21">
        <f t="shared" si="8"/>
        <v>1</v>
      </c>
      <c r="X20" s="14">
        <f t="shared" si="9"/>
        <v>0.66666666666666663</v>
      </c>
      <c r="Y20" s="14">
        <f t="shared" si="10"/>
        <v>0.9</v>
      </c>
      <c r="Z20" s="14">
        <f t="shared" si="11"/>
        <v>0</v>
      </c>
      <c r="AA20" s="28" t="s">
        <v>129</v>
      </c>
    </row>
    <row r="21" spans="1:27" ht="15" customHeight="1" x14ac:dyDescent="0.25">
      <c r="A21" s="8" t="s">
        <v>171</v>
      </c>
      <c r="B21" s="8" t="s">
        <v>172</v>
      </c>
      <c r="C21" s="8" t="s">
        <v>149</v>
      </c>
      <c r="D21" s="8" t="s">
        <v>161</v>
      </c>
      <c r="E21" s="8" t="s">
        <v>128</v>
      </c>
      <c r="F21" s="16">
        <v>13</v>
      </c>
      <c r="H21" s="13">
        <f t="shared" si="0"/>
        <v>13</v>
      </c>
      <c r="I21" s="21">
        <v>0</v>
      </c>
      <c r="J21" s="21">
        <v>0</v>
      </c>
      <c r="K21" s="21">
        <v>0</v>
      </c>
      <c r="N21" s="14">
        <f>I21*Resumen!$C$6+J21*Resumen!$C$7+K21*Resumen!$C$8</f>
        <v>0</v>
      </c>
      <c r="O21" s="13">
        <f t="shared" si="1"/>
        <v>0</v>
      </c>
      <c r="P21" s="13">
        <f t="shared" si="2"/>
        <v>13</v>
      </c>
      <c r="Q21" s="14">
        <f t="shared" si="3"/>
        <v>0</v>
      </c>
      <c r="R21" s="13">
        <f t="shared" si="4"/>
        <v>0</v>
      </c>
      <c r="S21" s="13">
        <f t="shared" si="5"/>
        <v>0</v>
      </c>
      <c r="T21" s="8" t="str">
        <f t="shared" si="6"/>
        <v>Sin entregas</v>
      </c>
      <c r="U21" s="14">
        <f>I21*Resumen!$C$6+J21*Resumen!$C$7+K21*Resumen!$C$9</f>
        <v>0</v>
      </c>
      <c r="V21" s="13">
        <f t="shared" si="7"/>
        <v>0</v>
      </c>
      <c r="W21" s="21">
        <f t="shared" si="8"/>
        <v>0</v>
      </c>
      <c r="X21" s="14">
        <f t="shared" si="9"/>
        <v>0</v>
      </c>
      <c r="Y21" s="14">
        <f t="shared" si="10"/>
        <v>0</v>
      </c>
      <c r="Z21" s="14">
        <f t="shared" si="11"/>
        <v>0</v>
      </c>
      <c r="AA21" s="28" t="s">
        <v>129</v>
      </c>
    </row>
    <row r="22" spans="1:27" ht="15" customHeight="1" x14ac:dyDescent="0.25">
      <c r="A22" s="8" t="s">
        <v>173</v>
      </c>
      <c r="B22" s="8" t="s">
        <v>174</v>
      </c>
      <c r="C22" s="8" t="s">
        <v>138</v>
      </c>
      <c r="D22" s="8" t="s">
        <v>161</v>
      </c>
      <c r="E22" s="8" t="s">
        <v>128</v>
      </c>
      <c r="F22" s="16">
        <v>57.2</v>
      </c>
      <c r="H22" s="13">
        <f t="shared" si="0"/>
        <v>57.2</v>
      </c>
      <c r="I22" s="21">
        <v>0</v>
      </c>
      <c r="J22" s="21">
        <v>0</v>
      </c>
      <c r="K22" s="21">
        <v>0</v>
      </c>
      <c r="N22" s="14">
        <f>I22*Resumen!$C$6+J22*Resumen!$C$7+K22*Resumen!$C$8</f>
        <v>0</v>
      </c>
      <c r="O22" s="13">
        <f t="shared" si="1"/>
        <v>0</v>
      </c>
      <c r="P22" s="13">
        <f t="shared" si="2"/>
        <v>57.2</v>
      </c>
      <c r="Q22" s="14">
        <f t="shared" si="3"/>
        <v>0</v>
      </c>
      <c r="R22" s="13">
        <f t="shared" si="4"/>
        <v>0</v>
      </c>
      <c r="S22" s="13">
        <f t="shared" si="5"/>
        <v>0</v>
      </c>
      <c r="T22" s="8" t="str">
        <f t="shared" si="6"/>
        <v>Sin entregas</v>
      </c>
      <c r="U22" s="14">
        <f>I22*Resumen!$C$6+J22*Resumen!$C$7+K22*Resumen!$C$9</f>
        <v>0</v>
      </c>
      <c r="V22" s="13">
        <f t="shared" si="7"/>
        <v>0</v>
      </c>
      <c r="W22" s="21">
        <f t="shared" si="8"/>
        <v>0</v>
      </c>
      <c r="X22" s="14">
        <f t="shared" si="9"/>
        <v>0</v>
      </c>
      <c r="Y22" s="14">
        <f t="shared" si="10"/>
        <v>0</v>
      </c>
      <c r="Z22" s="14">
        <f t="shared" si="11"/>
        <v>0</v>
      </c>
      <c r="AA22" s="28" t="s">
        <v>129</v>
      </c>
    </row>
    <row r="23" spans="1:27" ht="15" customHeight="1" x14ac:dyDescent="0.25">
      <c r="A23" s="8" t="s">
        <v>175</v>
      </c>
      <c r="B23" s="8" t="s">
        <v>176</v>
      </c>
      <c r="C23" s="8" t="s">
        <v>177</v>
      </c>
      <c r="D23" s="8" t="s">
        <v>161</v>
      </c>
      <c r="E23" s="8" t="s">
        <v>128</v>
      </c>
      <c r="F23" s="16">
        <v>32.5</v>
      </c>
      <c r="H23" s="13">
        <f t="shared" si="0"/>
        <v>32.5</v>
      </c>
      <c r="I23" s="21">
        <v>0</v>
      </c>
      <c r="J23" s="21">
        <v>0</v>
      </c>
      <c r="K23" s="21">
        <v>0</v>
      </c>
      <c r="N23" s="14">
        <f>I23*Resumen!$C$6+J23*Resumen!$C$7+K23*Resumen!$C$8</f>
        <v>0</v>
      </c>
      <c r="O23" s="13">
        <f t="shared" si="1"/>
        <v>0</v>
      </c>
      <c r="P23" s="13">
        <f t="shared" si="2"/>
        <v>32.5</v>
      </c>
      <c r="Q23" s="14">
        <f t="shared" si="3"/>
        <v>0</v>
      </c>
      <c r="R23" s="13">
        <f t="shared" si="4"/>
        <v>0</v>
      </c>
      <c r="S23" s="13">
        <f t="shared" si="5"/>
        <v>0</v>
      </c>
      <c r="T23" s="8" t="str">
        <f t="shared" si="6"/>
        <v>Sin entregas</v>
      </c>
      <c r="U23" s="14">
        <f>I23*Resumen!$C$6+J23*Resumen!$C$7+K23*Resumen!$C$9</f>
        <v>0</v>
      </c>
      <c r="V23" s="13">
        <f t="shared" si="7"/>
        <v>0</v>
      </c>
      <c r="W23" s="21">
        <f t="shared" si="8"/>
        <v>0</v>
      </c>
      <c r="X23" s="14">
        <f t="shared" si="9"/>
        <v>0</v>
      </c>
      <c r="Y23" s="14">
        <f t="shared" si="10"/>
        <v>0</v>
      </c>
      <c r="Z23" s="14">
        <f t="shared" si="11"/>
        <v>0</v>
      </c>
      <c r="AA23" s="28" t="s">
        <v>129</v>
      </c>
    </row>
    <row r="24" spans="1:27" ht="15" customHeight="1" x14ac:dyDescent="0.25">
      <c r="A24" s="8" t="s">
        <v>181</v>
      </c>
      <c r="B24" s="8" t="s">
        <v>182</v>
      </c>
      <c r="C24" s="8" t="s">
        <v>149</v>
      </c>
      <c r="D24" s="8" t="s">
        <v>161</v>
      </c>
      <c r="E24" s="8" t="s">
        <v>128</v>
      </c>
      <c r="F24" s="16">
        <v>107.9</v>
      </c>
      <c r="H24" s="13">
        <f t="shared" si="0"/>
        <v>107.9</v>
      </c>
      <c r="I24" s="21">
        <v>0</v>
      </c>
      <c r="J24" s="21">
        <v>0</v>
      </c>
      <c r="K24" s="21">
        <v>0</v>
      </c>
      <c r="N24" s="14">
        <f>I24*Resumen!$C$6+J24*Resumen!$C$7+K24*Resumen!$C$8</f>
        <v>0</v>
      </c>
      <c r="O24" s="13">
        <f t="shared" si="1"/>
        <v>0</v>
      </c>
      <c r="P24" s="13">
        <f t="shared" si="2"/>
        <v>107.9</v>
      </c>
      <c r="Q24" s="14">
        <f t="shared" si="3"/>
        <v>0</v>
      </c>
      <c r="R24" s="13">
        <f t="shared" si="4"/>
        <v>0</v>
      </c>
      <c r="S24" s="13">
        <f t="shared" si="5"/>
        <v>0</v>
      </c>
      <c r="T24" s="8" t="str">
        <f t="shared" si="6"/>
        <v>Sin entregas</v>
      </c>
      <c r="U24" s="14">
        <f>I24*Resumen!$C$6+J24*Resumen!$C$7+K24*Resumen!$C$9</f>
        <v>0</v>
      </c>
      <c r="V24" s="13">
        <f t="shared" si="7"/>
        <v>0</v>
      </c>
      <c r="W24" s="21">
        <f t="shared" si="8"/>
        <v>0</v>
      </c>
      <c r="X24" s="14">
        <f t="shared" si="9"/>
        <v>0</v>
      </c>
      <c r="Y24" s="14">
        <f t="shared" si="10"/>
        <v>0</v>
      </c>
      <c r="Z24" s="14">
        <f t="shared" si="11"/>
        <v>0</v>
      </c>
      <c r="AA24" s="28" t="s">
        <v>129</v>
      </c>
    </row>
    <row r="25" spans="1:27" ht="15" customHeight="1" x14ac:dyDescent="0.25">
      <c r="A25" s="8" t="s">
        <v>186</v>
      </c>
      <c r="B25" s="8" t="s">
        <v>187</v>
      </c>
      <c r="C25" s="8" t="s">
        <v>157</v>
      </c>
      <c r="D25" s="8" t="s">
        <v>161</v>
      </c>
      <c r="E25" s="8" t="s">
        <v>128</v>
      </c>
      <c r="F25" s="16">
        <v>98.8</v>
      </c>
      <c r="G25" s="16">
        <v>194.38</v>
      </c>
      <c r="H25" s="13">
        <f t="shared" si="0"/>
        <v>194.38</v>
      </c>
      <c r="I25" s="21">
        <v>1</v>
      </c>
      <c r="J25" s="21">
        <v>1</v>
      </c>
      <c r="K25" s="21">
        <v>0</v>
      </c>
      <c r="L25" s="15">
        <v>2.2100000000000002E-2</v>
      </c>
      <c r="M25" s="15">
        <v>1.9900000000000001E-2</v>
      </c>
      <c r="N25" s="14">
        <f>I25*Resumen!$C$6+J25*Resumen!$C$7+K25*Resumen!$C$8</f>
        <v>0.9</v>
      </c>
      <c r="O25" s="13">
        <f t="shared" si="1"/>
        <v>174.94200000000001</v>
      </c>
      <c r="P25" s="13">
        <f t="shared" si="2"/>
        <v>19.437999999999988</v>
      </c>
      <c r="Q25" s="14">
        <f t="shared" si="3"/>
        <v>0.9</v>
      </c>
      <c r="R25" s="13">
        <f t="shared" si="4"/>
        <v>174.94200000000001</v>
      </c>
      <c r="S25" s="13">
        <f t="shared" si="5"/>
        <v>194.38</v>
      </c>
      <c r="T25" s="8" t="str">
        <f t="shared" si="6"/>
        <v>Con entregas</v>
      </c>
      <c r="U25" s="14">
        <f>I25*Resumen!$C$6+J25*Resumen!$C$7+K25*Resumen!$C$9</f>
        <v>0.9</v>
      </c>
      <c r="V25" s="13">
        <f t="shared" si="7"/>
        <v>174.94200000000001</v>
      </c>
      <c r="W25" s="21">
        <f t="shared" si="8"/>
        <v>1</v>
      </c>
      <c r="X25" s="14">
        <f t="shared" si="9"/>
        <v>0.66666666666666663</v>
      </c>
      <c r="Y25" s="14">
        <f t="shared" si="10"/>
        <v>0.9</v>
      </c>
      <c r="Z25" s="14">
        <f t="shared" si="11"/>
        <v>0</v>
      </c>
      <c r="AA25" s="28" t="s">
        <v>129</v>
      </c>
    </row>
    <row r="26" spans="1:27" ht="15" customHeight="1" x14ac:dyDescent="0.25">
      <c r="A26" s="8" t="s">
        <v>265</v>
      </c>
      <c r="B26" s="8" t="s">
        <v>266</v>
      </c>
      <c r="C26" s="8" t="s">
        <v>180</v>
      </c>
      <c r="D26" s="8" t="s">
        <v>161</v>
      </c>
      <c r="E26" s="8" t="s">
        <v>128</v>
      </c>
      <c r="F26" s="16">
        <v>212.11</v>
      </c>
      <c r="H26" s="13">
        <f t="shared" si="0"/>
        <v>212.11</v>
      </c>
      <c r="I26" s="21">
        <v>0</v>
      </c>
      <c r="J26" s="21">
        <v>0</v>
      </c>
      <c r="K26" s="21">
        <v>0</v>
      </c>
      <c r="N26" s="14">
        <f>I26*Resumen!$C$6+J26*Resumen!$C$7+K26*Resumen!$C$8</f>
        <v>0</v>
      </c>
      <c r="O26" s="13">
        <f t="shared" si="1"/>
        <v>0</v>
      </c>
      <c r="P26" s="13">
        <f t="shared" si="2"/>
        <v>212.11</v>
      </c>
      <c r="Q26" s="14">
        <f t="shared" si="3"/>
        <v>0</v>
      </c>
      <c r="R26" s="13">
        <f t="shared" si="4"/>
        <v>0</v>
      </c>
      <c r="S26" s="13">
        <f t="shared" si="5"/>
        <v>0</v>
      </c>
      <c r="T26" s="8" t="str">
        <f t="shared" si="6"/>
        <v>Sin entregas</v>
      </c>
      <c r="U26" s="14">
        <f>I26*Resumen!$C$6+J26*Resumen!$C$7+K26*Resumen!$C$9</f>
        <v>0</v>
      </c>
      <c r="V26" s="13">
        <f t="shared" si="7"/>
        <v>0</v>
      </c>
      <c r="W26" s="21">
        <f t="shared" si="8"/>
        <v>0</v>
      </c>
      <c r="X26" s="14">
        <f t="shared" si="9"/>
        <v>0</v>
      </c>
      <c r="Y26" s="14">
        <f t="shared" si="10"/>
        <v>0</v>
      </c>
      <c r="Z26" s="14">
        <f t="shared" si="11"/>
        <v>0</v>
      </c>
      <c r="AA26" s="28" t="s">
        <v>129</v>
      </c>
    </row>
    <row r="27" spans="1:27" ht="15" customHeight="1" x14ac:dyDescent="0.25">
      <c r="A27" s="8" t="s">
        <v>188</v>
      </c>
      <c r="B27" s="8" t="s">
        <v>189</v>
      </c>
      <c r="C27" s="8" t="s">
        <v>149</v>
      </c>
      <c r="D27" s="8" t="s">
        <v>161</v>
      </c>
      <c r="E27" s="8" t="s">
        <v>128</v>
      </c>
      <c r="F27" s="16">
        <v>158.6</v>
      </c>
      <c r="H27" s="13">
        <f t="shared" si="0"/>
        <v>158.6</v>
      </c>
      <c r="I27" s="21">
        <v>0</v>
      </c>
      <c r="J27" s="21">
        <v>0</v>
      </c>
      <c r="K27" s="21">
        <v>0</v>
      </c>
      <c r="N27" s="14">
        <f>I27*Resumen!$C$6+J27*Resumen!$C$7+K27*Resumen!$C$8</f>
        <v>0</v>
      </c>
      <c r="O27" s="13">
        <f t="shared" si="1"/>
        <v>0</v>
      </c>
      <c r="P27" s="13">
        <f t="shared" si="2"/>
        <v>158.6</v>
      </c>
      <c r="Q27" s="14">
        <f t="shared" si="3"/>
        <v>0</v>
      </c>
      <c r="R27" s="13">
        <f t="shared" si="4"/>
        <v>0</v>
      </c>
      <c r="S27" s="13">
        <f t="shared" si="5"/>
        <v>0</v>
      </c>
      <c r="T27" s="8" t="str">
        <f t="shared" si="6"/>
        <v>Sin entregas</v>
      </c>
      <c r="U27" s="14">
        <f>I27*Resumen!$C$6+J27*Resumen!$C$7+K27*Resumen!$C$9</f>
        <v>0</v>
      </c>
      <c r="V27" s="13">
        <f t="shared" si="7"/>
        <v>0</v>
      </c>
      <c r="W27" s="21">
        <f t="shared" si="8"/>
        <v>0</v>
      </c>
      <c r="X27" s="14">
        <f t="shared" si="9"/>
        <v>0</v>
      </c>
      <c r="Y27" s="14">
        <f t="shared" si="10"/>
        <v>0</v>
      </c>
      <c r="Z27" s="14">
        <f t="shared" si="11"/>
        <v>0</v>
      </c>
      <c r="AA27" s="28" t="s">
        <v>129</v>
      </c>
    </row>
    <row r="28" spans="1:27" ht="15" customHeight="1" x14ac:dyDescent="0.25">
      <c r="A28" s="8" t="s">
        <v>190</v>
      </c>
      <c r="B28" s="8" t="s">
        <v>191</v>
      </c>
      <c r="C28" s="8" t="s">
        <v>149</v>
      </c>
      <c r="D28" s="8" t="s">
        <v>161</v>
      </c>
      <c r="E28" s="8" t="s">
        <v>128</v>
      </c>
      <c r="F28" s="16">
        <v>41.6</v>
      </c>
      <c r="H28" s="13">
        <f t="shared" si="0"/>
        <v>41.6</v>
      </c>
      <c r="I28" s="21">
        <v>0</v>
      </c>
      <c r="J28" s="21">
        <v>0</v>
      </c>
      <c r="K28" s="21">
        <v>0</v>
      </c>
      <c r="N28" s="14">
        <f>I28*Resumen!$C$6+J28*Resumen!$C$7+K28*Resumen!$C$8</f>
        <v>0</v>
      </c>
      <c r="O28" s="13">
        <f t="shared" si="1"/>
        <v>0</v>
      </c>
      <c r="P28" s="13">
        <f t="shared" si="2"/>
        <v>41.6</v>
      </c>
      <c r="Q28" s="14">
        <f t="shared" si="3"/>
        <v>0</v>
      </c>
      <c r="R28" s="13">
        <f t="shared" si="4"/>
        <v>0</v>
      </c>
      <c r="S28" s="13">
        <f t="shared" si="5"/>
        <v>0</v>
      </c>
      <c r="T28" s="8" t="str">
        <f t="shared" si="6"/>
        <v>Sin entregas</v>
      </c>
      <c r="U28" s="14">
        <f>I28*Resumen!$C$6+J28*Resumen!$C$7+K28*Resumen!$C$9</f>
        <v>0</v>
      </c>
      <c r="V28" s="13">
        <f t="shared" si="7"/>
        <v>0</v>
      </c>
      <c r="W28" s="21">
        <f t="shared" si="8"/>
        <v>0</v>
      </c>
      <c r="X28" s="14">
        <f t="shared" si="9"/>
        <v>0</v>
      </c>
      <c r="Y28" s="14">
        <f t="shared" si="10"/>
        <v>0</v>
      </c>
      <c r="Z28" s="14">
        <f t="shared" si="11"/>
        <v>0</v>
      </c>
      <c r="AA28" s="28" t="s">
        <v>129</v>
      </c>
    </row>
    <row r="29" spans="1:27" ht="15" customHeight="1" x14ac:dyDescent="0.25">
      <c r="A29" s="8" t="s">
        <v>267</v>
      </c>
      <c r="B29" s="8" t="s">
        <v>268</v>
      </c>
      <c r="C29" s="8" t="s">
        <v>180</v>
      </c>
      <c r="D29" s="8" t="s">
        <v>161</v>
      </c>
      <c r="E29" s="8" t="s">
        <v>128</v>
      </c>
      <c r="F29" s="16">
        <v>1391</v>
      </c>
      <c r="G29" s="16">
        <v>1092.6199999999999</v>
      </c>
      <c r="H29" s="13">
        <f t="shared" si="0"/>
        <v>1092.6199999999999</v>
      </c>
      <c r="I29" s="21">
        <v>1</v>
      </c>
      <c r="J29" s="21">
        <v>0</v>
      </c>
      <c r="K29" s="21">
        <v>0</v>
      </c>
      <c r="L29" s="15">
        <v>0.1244</v>
      </c>
      <c r="M29" s="15">
        <v>5.6000000000000001E-2</v>
      </c>
      <c r="N29" s="14">
        <f>I29*Resumen!$C$6+J29*Resumen!$C$7+K29*Resumen!$C$8</f>
        <v>0.45</v>
      </c>
      <c r="O29" s="13">
        <f t="shared" si="1"/>
        <v>491.67899999999997</v>
      </c>
      <c r="P29" s="13">
        <f t="shared" si="2"/>
        <v>600.94099999999992</v>
      </c>
      <c r="Q29" s="14">
        <f t="shared" si="3"/>
        <v>0.45</v>
      </c>
      <c r="R29" s="13">
        <f t="shared" si="4"/>
        <v>491.67899999999997</v>
      </c>
      <c r="S29" s="13">
        <f t="shared" si="5"/>
        <v>1092.6199999999999</v>
      </c>
      <c r="T29" s="8" t="str">
        <f t="shared" si="6"/>
        <v>Con entregas</v>
      </c>
      <c r="U29" s="14">
        <f>I29*Resumen!$C$6+J29*Resumen!$C$7+K29*Resumen!$C$9</f>
        <v>0.45</v>
      </c>
      <c r="V29" s="13">
        <f t="shared" si="7"/>
        <v>491.67899999999997</v>
      </c>
      <c r="W29" s="21">
        <f t="shared" si="8"/>
        <v>1</v>
      </c>
      <c r="X29" s="14">
        <f t="shared" si="9"/>
        <v>0.33333333333333331</v>
      </c>
      <c r="Y29" s="14">
        <f t="shared" si="10"/>
        <v>0.45</v>
      </c>
      <c r="Z29" s="14">
        <f t="shared" si="11"/>
        <v>0</v>
      </c>
      <c r="AA29" s="28" t="s">
        <v>129</v>
      </c>
    </row>
    <row r="30" spans="1:27" ht="15" customHeight="1" x14ac:dyDescent="0.25">
      <c r="A30" s="8" t="s">
        <v>192</v>
      </c>
      <c r="B30" s="8" t="s">
        <v>193</v>
      </c>
      <c r="C30" s="8" t="s">
        <v>138</v>
      </c>
      <c r="D30" s="8" t="s">
        <v>161</v>
      </c>
      <c r="E30" s="8" t="s">
        <v>128</v>
      </c>
      <c r="F30" s="16">
        <v>119.6</v>
      </c>
      <c r="G30" s="16">
        <v>163.82</v>
      </c>
      <c r="H30" s="13">
        <f t="shared" si="0"/>
        <v>163.82</v>
      </c>
      <c r="I30" s="21">
        <v>1</v>
      </c>
      <c r="J30" s="21">
        <v>1</v>
      </c>
      <c r="K30" s="21">
        <v>0</v>
      </c>
      <c r="L30" s="15">
        <v>1.8700000000000001E-2</v>
      </c>
      <c r="M30" s="15">
        <v>1.6799999999999999E-2</v>
      </c>
      <c r="N30" s="14">
        <f>I30*Resumen!$C$6+J30*Resumen!$C$7+K30*Resumen!$C$8</f>
        <v>0.9</v>
      </c>
      <c r="O30" s="13">
        <f t="shared" si="1"/>
        <v>147.43799999999999</v>
      </c>
      <c r="P30" s="13">
        <f t="shared" si="2"/>
        <v>16.382000000000005</v>
      </c>
      <c r="Q30" s="14">
        <f t="shared" si="3"/>
        <v>0.89839572192513362</v>
      </c>
      <c r="R30" s="13">
        <f t="shared" si="4"/>
        <v>147.17518716577538</v>
      </c>
      <c r="S30" s="13">
        <f t="shared" si="5"/>
        <v>163.82</v>
      </c>
      <c r="T30" s="8" t="str">
        <f t="shared" si="6"/>
        <v>Con entregas</v>
      </c>
      <c r="U30" s="14">
        <f>I30*Resumen!$C$6+J30*Resumen!$C$7+K30*Resumen!$C$9</f>
        <v>0.9</v>
      </c>
      <c r="V30" s="13">
        <f t="shared" si="7"/>
        <v>147.43799999999999</v>
      </c>
      <c r="W30" s="21">
        <f t="shared" si="8"/>
        <v>1</v>
      </c>
      <c r="X30" s="14">
        <f t="shared" si="9"/>
        <v>0.66666666666666663</v>
      </c>
      <c r="Y30" s="14">
        <f t="shared" si="10"/>
        <v>0.9</v>
      </c>
      <c r="Z30" s="14">
        <f t="shared" si="11"/>
        <v>0</v>
      </c>
      <c r="AA30" s="28" t="s">
        <v>129</v>
      </c>
    </row>
    <row r="31" spans="1:27" ht="15" customHeight="1" x14ac:dyDescent="0.25">
      <c r="A31" s="8" t="s">
        <v>194</v>
      </c>
      <c r="B31" s="8" t="s">
        <v>195</v>
      </c>
      <c r="C31" s="8" t="s">
        <v>149</v>
      </c>
      <c r="D31" s="8" t="s">
        <v>161</v>
      </c>
      <c r="E31" s="8" t="s">
        <v>128</v>
      </c>
      <c r="F31" s="16">
        <v>349.7</v>
      </c>
      <c r="H31" s="13">
        <f t="shared" si="0"/>
        <v>349.7</v>
      </c>
      <c r="I31" s="21">
        <v>0</v>
      </c>
      <c r="J31" s="21">
        <v>0</v>
      </c>
      <c r="K31" s="21">
        <v>0</v>
      </c>
      <c r="N31" s="14">
        <f>I31*Resumen!$C$6+J31*Resumen!$C$7+K31*Resumen!$C$8</f>
        <v>0</v>
      </c>
      <c r="O31" s="13">
        <f t="shared" si="1"/>
        <v>0</v>
      </c>
      <c r="P31" s="13">
        <f t="shared" si="2"/>
        <v>349.7</v>
      </c>
      <c r="Q31" s="14">
        <f t="shared" si="3"/>
        <v>0</v>
      </c>
      <c r="R31" s="13">
        <f t="shared" si="4"/>
        <v>0</v>
      </c>
      <c r="S31" s="13">
        <f t="shared" si="5"/>
        <v>0</v>
      </c>
      <c r="T31" s="8" t="str">
        <f t="shared" si="6"/>
        <v>Sin entregas</v>
      </c>
      <c r="U31" s="14">
        <f>I31*Resumen!$C$6+J31*Resumen!$C$7+K31*Resumen!$C$9</f>
        <v>0</v>
      </c>
      <c r="V31" s="13">
        <f t="shared" si="7"/>
        <v>0</v>
      </c>
      <c r="W31" s="21">
        <f t="shared" si="8"/>
        <v>0</v>
      </c>
      <c r="X31" s="14">
        <f t="shared" si="9"/>
        <v>0</v>
      </c>
      <c r="Y31" s="14">
        <f t="shared" si="10"/>
        <v>0</v>
      </c>
      <c r="Z31" s="14">
        <f t="shared" si="11"/>
        <v>0</v>
      </c>
      <c r="AA31" s="28" t="s">
        <v>129</v>
      </c>
    </row>
    <row r="32" spans="1:27" ht="15" customHeight="1" x14ac:dyDescent="0.25">
      <c r="A32" s="8" t="s">
        <v>196</v>
      </c>
      <c r="B32" s="8" t="s">
        <v>197</v>
      </c>
      <c r="C32" s="8" t="s">
        <v>149</v>
      </c>
      <c r="D32" s="8" t="s">
        <v>161</v>
      </c>
      <c r="E32" s="8" t="s">
        <v>128</v>
      </c>
      <c r="F32" s="16">
        <v>74.099999999999994</v>
      </c>
      <c r="G32" s="16">
        <v>62.22</v>
      </c>
      <c r="H32" s="13">
        <f t="shared" si="0"/>
        <v>62.22</v>
      </c>
      <c r="I32" s="21">
        <v>1</v>
      </c>
      <c r="J32" s="21">
        <v>0</v>
      </c>
      <c r="K32" s="21">
        <v>0</v>
      </c>
      <c r="L32" s="15">
        <v>7.1000000000000004E-3</v>
      </c>
      <c r="M32" s="15">
        <v>2.7000000000000001E-3</v>
      </c>
      <c r="N32" s="14">
        <f>I32*Resumen!$C$6+J32*Resumen!$C$7+K32*Resumen!$C$8</f>
        <v>0.45</v>
      </c>
      <c r="O32" s="13">
        <f t="shared" si="1"/>
        <v>27.998999999999999</v>
      </c>
      <c r="P32" s="13">
        <f t="shared" si="2"/>
        <v>34.221000000000004</v>
      </c>
      <c r="Q32" s="14">
        <f t="shared" si="3"/>
        <v>0.38028169014084506</v>
      </c>
      <c r="R32" s="13">
        <f t="shared" si="4"/>
        <v>23.661126760563381</v>
      </c>
      <c r="S32" s="13">
        <f t="shared" si="5"/>
        <v>62.22</v>
      </c>
      <c r="T32" s="8" t="str">
        <f t="shared" si="6"/>
        <v>Con entregas</v>
      </c>
      <c r="U32" s="14">
        <f>I32*Resumen!$C$6+J32*Resumen!$C$7+K32*Resumen!$C$9</f>
        <v>0.45</v>
      </c>
      <c r="V32" s="13">
        <f t="shared" si="7"/>
        <v>27.998999999999999</v>
      </c>
      <c r="W32" s="21">
        <f t="shared" si="8"/>
        <v>1</v>
      </c>
      <c r="X32" s="14">
        <f t="shared" si="9"/>
        <v>0.33333333333333331</v>
      </c>
      <c r="Y32" s="14">
        <f t="shared" si="10"/>
        <v>0.45</v>
      </c>
      <c r="Z32" s="14">
        <f t="shared" si="11"/>
        <v>0</v>
      </c>
      <c r="AA32" s="28" t="s">
        <v>129</v>
      </c>
    </row>
    <row r="33" spans="1:27" ht="15" customHeight="1" x14ac:dyDescent="0.25">
      <c r="A33" s="8" t="s">
        <v>198</v>
      </c>
      <c r="B33" s="8" t="s">
        <v>199</v>
      </c>
      <c r="C33" s="8" t="s">
        <v>138</v>
      </c>
      <c r="D33" s="8" t="s">
        <v>161</v>
      </c>
      <c r="E33" s="8" t="s">
        <v>128</v>
      </c>
      <c r="F33" s="16">
        <v>44.2</v>
      </c>
      <c r="H33" s="13">
        <f t="shared" si="0"/>
        <v>44.2</v>
      </c>
      <c r="I33" s="21">
        <v>0</v>
      </c>
      <c r="J33" s="21">
        <v>0</v>
      </c>
      <c r="K33" s="21">
        <v>0</v>
      </c>
      <c r="N33" s="14">
        <f>I33*Resumen!$C$6+J33*Resumen!$C$7+K33*Resumen!$C$8</f>
        <v>0</v>
      </c>
      <c r="O33" s="13">
        <f t="shared" si="1"/>
        <v>0</v>
      </c>
      <c r="P33" s="13">
        <f t="shared" si="2"/>
        <v>44.2</v>
      </c>
      <c r="Q33" s="14">
        <f t="shared" si="3"/>
        <v>0</v>
      </c>
      <c r="R33" s="13">
        <f t="shared" si="4"/>
        <v>0</v>
      </c>
      <c r="S33" s="13">
        <f t="shared" si="5"/>
        <v>0</v>
      </c>
      <c r="T33" s="8" t="str">
        <f t="shared" si="6"/>
        <v>Sin entregas</v>
      </c>
      <c r="U33" s="14">
        <f>I33*Resumen!$C$6+J33*Resumen!$C$7+K33*Resumen!$C$9</f>
        <v>0</v>
      </c>
      <c r="V33" s="13">
        <f t="shared" si="7"/>
        <v>0</v>
      </c>
      <c r="W33" s="21">
        <f t="shared" si="8"/>
        <v>0</v>
      </c>
      <c r="X33" s="14">
        <f t="shared" si="9"/>
        <v>0</v>
      </c>
      <c r="Y33" s="14">
        <f t="shared" si="10"/>
        <v>0</v>
      </c>
      <c r="Z33" s="14">
        <f t="shared" si="11"/>
        <v>0</v>
      </c>
      <c r="AA33" s="28" t="s">
        <v>129</v>
      </c>
    </row>
    <row r="34" spans="1:27" ht="15" customHeight="1" x14ac:dyDescent="0.25">
      <c r="A34" s="8" t="s">
        <v>200</v>
      </c>
      <c r="B34" s="8" t="s">
        <v>201</v>
      </c>
      <c r="C34" s="8" t="s">
        <v>149</v>
      </c>
      <c r="D34" s="8" t="s">
        <v>161</v>
      </c>
      <c r="E34" s="8" t="s">
        <v>128</v>
      </c>
      <c r="F34" s="16">
        <v>62.4</v>
      </c>
      <c r="H34" s="13">
        <f t="shared" si="0"/>
        <v>62.4</v>
      </c>
      <c r="I34" s="21">
        <v>0</v>
      </c>
      <c r="J34" s="21">
        <v>0</v>
      </c>
      <c r="K34" s="21">
        <v>0</v>
      </c>
      <c r="N34" s="14">
        <f>I34*Resumen!$C$6+J34*Resumen!$C$7+K34*Resumen!$C$8</f>
        <v>0</v>
      </c>
      <c r="O34" s="13">
        <f t="shared" si="1"/>
        <v>0</v>
      </c>
      <c r="P34" s="13">
        <f t="shared" si="2"/>
        <v>62.4</v>
      </c>
      <c r="Q34" s="14">
        <f t="shared" si="3"/>
        <v>0</v>
      </c>
      <c r="R34" s="13">
        <f t="shared" si="4"/>
        <v>0</v>
      </c>
      <c r="S34" s="13">
        <f t="shared" si="5"/>
        <v>0</v>
      </c>
      <c r="T34" s="8" t="str">
        <f t="shared" si="6"/>
        <v>Sin entregas</v>
      </c>
      <c r="U34" s="14">
        <f>I34*Resumen!$C$6+J34*Resumen!$C$7+K34*Resumen!$C$9</f>
        <v>0</v>
      </c>
      <c r="V34" s="13">
        <f t="shared" si="7"/>
        <v>0</v>
      </c>
      <c r="W34" s="21">
        <f t="shared" si="8"/>
        <v>0</v>
      </c>
      <c r="X34" s="14">
        <f t="shared" si="9"/>
        <v>0</v>
      </c>
      <c r="Y34" s="14">
        <f t="shared" si="10"/>
        <v>0</v>
      </c>
      <c r="Z34" s="14">
        <f t="shared" si="11"/>
        <v>0</v>
      </c>
      <c r="AA34" s="28" t="s">
        <v>129</v>
      </c>
    </row>
    <row r="35" spans="1:27" ht="15" customHeight="1" x14ac:dyDescent="0.25">
      <c r="A35" s="8" t="s">
        <v>202</v>
      </c>
      <c r="B35" s="8" t="s">
        <v>203</v>
      </c>
      <c r="C35" s="8" t="s">
        <v>149</v>
      </c>
      <c r="D35" s="8" t="s">
        <v>161</v>
      </c>
      <c r="E35" s="8" t="s">
        <v>128</v>
      </c>
      <c r="F35" s="16">
        <v>52</v>
      </c>
      <c r="H35" s="13">
        <f t="shared" si="0"/>
        <v>52</v>
      </c>
      <c r="I35" s="21">
        <v>0</v>
      </c>
      <c r="J35" s="21">
        <v>0</v>
      </c>
      <c r="K35" s="21">
        <v>0</v>
      </c>
      <c r="N35" s="14">
        <f>I35*Resumen!$C$6+J35*Resumen!$C$7+K35*Resumen!$C$8</f>
        <v>0</v>
      </c>
      <c r="O35" s="13">
        <f t="shared" si="1"/>
        <v>0</v>
      </c>
      <c r="P35" s="13">
        <f t="shared" si="2"/>
        <v>52</v>
      </c>
      <c r="Q35" s="14">
        <f t="shared" si="3"/>
        <v>0</v>
      </c>
      <c r="R35" s="13">
        <f t="shared" si="4"/>
        <v>0</v>
      </c>
      <c r="S35" s="13">
        <f t="shared" si="5"/>
        <v>0</v>
      </c>
      <c r="T35" s="8" t="str">
        <f t="shared" si="6"/>
        <v>Sin entregas</v>
      </c>
      <c r="U35" s="14">
        <f>I35*Resumen!$C$6+J35*Resumen!$C$7+K35*Resumen!$C$9</f>
        <v>0</v>
      </c>
      <c r="V35" s="13">
        <f t="shared" si="7"/>
        <v>0</v>
      </c>
      <c r="W35" s="21">
        <f t="shared" si="8"/>
        <v>0</v>
      </c>
      <c r="X35" s="14">
        <f t="shared" si="9"/>
        <v>0</v>
      </c>
      <c r="Y35" s="14">
        <f t="shared" si="10"/>
        <v>0</v>
      </c>
      <c r="Z35" s="14">
        <f t="shared" si="11"/>
        <v>0</v>
      </c>
      <c r="AA35" s="28" t="s">
        <v>129</v>
      </c>
    </row>
    <row r="36" spans="1:27" ht="15" customHeight="1" x14ac:dyDescent="0.25">
      <c r="A36" s="8" t="s">
        <v>204</v>
      </c>
      <c r="B36" s="8" t="s">
        <v>205</v>
      </c>
      <c r="C36" s="8" t="s">
        <v>177</v>
      </c>
      <c r="D36" s="8" t="s">
        <v>161</v>
      </c>
      <c r="E36" s="8" t="s">
        <v>128</v>
      </c>
      <c r="F36" s="16">
        <v>35.1</v>
      </c>
      <c r="H36" s="13">
        <f t="shared" si="0"/>
        <v>35.1</v>
      </c>
      <c r="I36" s="21">
        <v>0</v>
      </c>
      <c r="J36" s="21">
        <v>0</v>
      </c>
      <c r="K36" s="21">
        <v>0</v>
      </c>
      <c r="N36" s="14">
        <f>I36*Resumen!$C$6+J36*Resumen!$C$7+K36*Resumen!$C$8</f>
        <v>0</v>
      </c>
      <c r="O36" s="13">
        <f t="shared" si="1"/>
        <v>0</v>
      </c>
      <c r="P36" s="13">
        <f t="shared" si="2"/>
        <v>35.1</v>
      </c>
      <c r="Q36" s="14">
        <f t="shared" si="3"/>
        <v>0</v>
      </c>
      <c r="R36" s="13">
        <f t="shared" si="4"/>
        <v>0</v>
      </c>
      <c r="S36" s="13">
        <f t="shared" si="5"/>
        <v>0</v>
      </c>
      <c r="T36" s="8" t="str">
        <f t="shared" si="6"/>
        <v>Sin entregas</v>
      </c>
      <c r="U36" s="14">
        <f>I36*Resumen!$C$6+J36*Resumen!$C$7+K36*Resumen!$C$9</f>
        <v>0</v>
      </c>
      <c r="V36" s="13">
        <f t="shared" si="7"/>
        <v>0</v>
      </c>
      <c r="W36" s="21">
        <f t="shared" si="8"/>
        <v>0</v>
      </c>
      <c r="X36" s="14">
        <f t="shared" si="9"/>
        <v>0</v>
      </c>
      <c r="Y36" s="14">
        <f t="shared" si="10"/>
        <v>0</v>
      </c>
      <c r="Z36" s="14">
        <f t="shared" si="11"/>
        <v>0</v>
      </c>
      <c r="AA36" s="28" t="s">
        <v>129</v>
      </c>
    </row>
    <row r="37" spans="1:27" ht="15" customHeight="1" x14ac:dyDescent="0.25">
      <c r="A37" s="8" t="s">
        <v>210</v>
      </c>
      <c r="B37" s="8" t="s">
        <v>211</v>
      </c>
      <c r="C37" s="8" t="s">
        <v>149</v>
      </c>
      <c r="D37" s="8" t="s">
        <v>161</v>
      </c>
      <c r="E37" s="8" t="s">
        <v>128</v>
      </c>
      <c r="F37" s="16">
        <v>35.1</v>
      </c>
      <c r="G37" s="16">
        <v>11.21</v>
      </c>
      <c r="H37" s="13">
        <f t="shared" ref="H37:H68" si="12">IF(G37="",F37,G37)</f>
        <v>11.21</v>
      </c>
      <c r="I37" s="21">
        <v>1</v>
      </c>
      <c r="J37" s="21">
        <v>1</v>
      </c>
      <c r="K37" s="21">
        <v>1</v>
      </c>
      <c r="L37" s="15">
        <v>1.2999999999999999E-3</v>
      </c>
      <c r="M37" s="15">
        <v>1.2999999999999999E-3</v>
      </c>
      <c r="N37" s="14">
        <f>I37*Resumen!$C$6+J37*Resumen!$C$7+K37*Resumen!$C$8</f>
        <v>0.9</v>
      </c>
      <c r="O37" s="13">
        <f t="shared" ref="O37:O68" si="13">H37*N37</f>
        <v>10.089</v>
      </c>
      <c r="P37" s="13">
        <f t="shared" ref="P37:P68" si="14">H37-O37</f>
        <v>1.1210000000000004</v>
      </c>
      <c r="Q37" s="14">
        <f t="shared" ref="Q37:Q53" si="15">IF(L37&gt;0,MIN(1,M37/L37,IF(K37=0,N37,1)),0)</f>
        <v>1</v>
      </c>
      <c r="R37" s="13">
        <f t="shared" ref="R37:R68" si="16">H37*Q37</f>
        <v>11.21</v>
      </c>
      <c r="S37" s="13">
        <f t="shared" ref="S37:S53" si="17">IF(N37&gt;0,H37,0)</f>
        <v>11.21</v>
      </c>
      <c r="T37" s="8" t="str">
        <f t="shared" ref="T37:T53" si="18">IF(N37&gt;0,"Con entregas","Sin entregas")</f>
        <v>Con entregas</v>
      </c>
      <c r="U37" s="14">
        <f>I37*Resumen!$C$6+J37*Resumen!$C$7+K37*Resumen!$C$9</f>
        <v>1</v>
      </c>
      <c r="V37" s="13">
        <f t="shared" ref="V37:V68" si="19">H37*U37</f>
        <v>11.21</v>
      </c>
      <c r="W37" s="21">
        <f t="shared" ref="W37:W53" si="20">IF(COUNTIF(I37:K37,1)&gt;0,1,0)</f>
        <v>1</v>
      </c>
      <c r="X37" s="14">
        <f t="shared" ref="X37:X53" si="21">COUNTIF(I37:K37,1)/3</f>
        <v>1</v>
      </c>
      <c r="Y37" s="14">
        <f t="shared" ref="Y37:Y53" si="22">N37</f>
        <v>0.9</v>
      </c>
      <c r="Z37" s="14">
        <f t="shared" ref="Z37:Z68" si="23">Y37-U37</f>
        <v>-9.9999999999999978E-2</v>
      </c>
      <c r="AA37" s="28" t="s">
        <v>129</v>
      </c>
    </row>
    <row r="38" spans="1:27" ht="15" customHeight="1" x14ac:dyDescent="0.25">
      <c r="A38" s="8" t="s">
        <v>212</v>
      </c>
      <c r="B38" s="8" t="s">
        <v>213</v>
      </c>
      <c r="C38" s="8" t="s">
        <v>149</v>
      </c>
      <c r="D38" s="8" t="s">
        <v>161</v>
      </c>
      <c r="E38" s="8" t="s">
        <v>128</v>
      </c>
      <c r="F38" s="16">
        <v>57.2</v>
      </c>
      <c r="H38" s="13">
        <f t="shared" si="12"/>
        <v>57.2</v>
      </c>
      <c r="I38" s="21">
        <v>0</v>
      </c>
      <c r="J38" s="21">
        <v>0</v>
      </c>
      <c r="K38" s="21">
        <v>0</v>
      </c>
      <c r="N38" s="14">
        <f>I38*Resumen!$C$6+J38*Resumen!$C$7+K38*Resumen!$C$8</f>
        <v>0</v>
      </c>
      <c r="O38" s="13">
        <f t="shared" si="13"/>
        <v>0</v>
      </c>
      <c r="P38" s="13">
        <f t="shared" si="14"/>
        <v>57.2</v>
      </c>
      <c r="Q38" s="14">
        <f t="shared" si="15"/>
        <v>0</v>
      </c>
      <c r="R38" s="13">
        <f t="shared" si="16"/>
        <v>0</v>
      </c>
      <c r="S38" s="13">
        <f t="shared" si="17"/>
        <v>0</v>
      </c>
      <c r="T38" s="8" t="str">
        <f t="shared" si="18"/>
        <v>Sin entregas</v>
      </c>
      <c r="U38" s="14">
        <f>I38*Resumen!$C$6+J38*Resumen!$C$7+K38*Resumen!$C$9</f>
        <v>0</v>
      </c>
      <c r="V38" s="13">
        <f t="shared" si="19"/>
        <v>0</v>
      </c>
      <c r="W38" s="21">
        <f t="shared" si="20"/>
        <v>0</v>
      </c>
      <c r="X38" s="14">
        <f t="shared" si="21"/>
        <v>0</v>
      </c>
      <c r="Y38" s="14">
        <f t="shared" si="22"/>
        <v>0</v>
      </c>
      <c r="Z38" s="14">
        <f t="shared" si="23"/>
        <v>0</v>
      </c>
      <c r="AA38" s="28" t="s">
        <v>129</v>
      </c>
    </row>
    <row r="39" spans="1:27" ht="15" customHeight="1" x14ac:dyDescent="0.25">
      <c r="A39" s="8" t="s">
        <v>214</v>
      </c>
      <c r="B39" s="8" t="s">
        <v>215</v>
      </c>
      <c r="C39" s="8" t="s">
        <v>177</v>
      </c>
      <c r="D39" s="8" t="s">
        <v>161</v>
      </c>
      <c r="E39" s="8" t="s">
        <v>128</v>
      </c>
      <c r="F39" s="16">
        <v>462.8</v>
      </c>
      <c r="G39" s="16">
        <v>601.64</v>
      </c>
      <c r="H39" s="13">
        <f t="shared" si="12"/>
        <v>601.64</v>
      </c>
      <c r="I39" s="21">
        <v>1</v>
      </c>
      <c r="J39" s="21">
        <v>1</v>
      </c>
      <c r="K39" s="21">
        <v>1</v>
      </c>
      <c r="L39" s="15">
        <v>6.8500000000000005E-2</v>
      </c>
      <c r="M39" s="15">
        <v>6.7799999999999999E-2</v>
      </c>
      <c r="N39" s="14">
        <f>I39*Resumen!$C$6+J39*Resumen!$C$7+K39*Resumen!$C$8</f>
        <v>0.9</v>
      </c>
      <c r="O39" s="13">
        <f t="shared" si="13"/>
        <v>541.476</v>
      </c>
      <c r="P39" s="13">
        <f t="shared" si="14"/>
        <v>60.163999999999987</v>
      </c>
      <c r="Q39" s="14">
        <f t="shared" si="15"/>
        <v>0.98978102189781014</v>
      </c>
      <c r="R39" s="13">
        <f t="shared" si="16"/>
        <v>595.49185401459852</v>
      </c>
      <c r="S39" s="13">
        <f t="shared" si="17"/>
        <v>601.64</v>
      </c>
      <c r="T39" s="8" t="str">
        <f t="shared" si="18"/>
        <v>Con entregas</v>
      </c>
      <c r="U39" s="14">
        <f>I39*Resumen!$C$6+J39*Resumen!$C$7+K39*Resumen!$C$9</f>
        <v>1</v>
      </c>
      <c r="V39" s="13">
        <f t="shared" si="19"/>
        <v>601.64</v>
      </c>
      <c r="W39" s="21">
        <f t="shared" si="20"/>
        <v>1</v>
      </c>
      <c r="X39" s="14">
        <f t="shared" si="21"/>
        <v>1</v>
      </c>
      <c r="Y39" s="14">
        <f t="shared" si="22"/>
        <v>0.9</v>
      </c>
      <c r="Z39" s="14">
        <f t="shared" si="23"/>
        <v>-9.9999999999999978E-2</v>
      </c>
      <c r="AA39" s="28" t="s">
        <v>129</v>
      </c>
    </row>
    <row r="40" spans="1:27" ht="15" customHeight="1" x14ac:dyDescent="0.25">
      <c r="A40" s="8" t="s">
        <v>216</v>
      </c>
      <c r="B40" s="8" t="s">
        <v>217</v>
      </c>
      <c r="C40" s="8" t="s">
        <v>177</v>
      </c>
      <c r="D40" s="8" t="s">
        <v>161</v>
      </c>
      <c r="E40" s="8" t="s">
        <v>128</v>
      </c>
      <c r="F40" s="16">
        <v>227.5</v>
      </c>
      <c r="G40" s="16">
        <v>67.64</v>
      </c>
      <c r="H40" s="13">
        <f t="shared" si="12"/>
        <v>67.64</v>
      </c>
      <c r="I40" s="21">
        <v>1</v>
      </c>
      <c r="J40" s="21">
        <v>1</v>
      </c>
      <c r="K40" s="21">
        <v>1</v>
      </c>
      <c r="L40" s="15">
        <v>7.7000000000000002E-3</v>
      </c>
      <c r="M40" s="15">
        <v>7.0000000000000001E-3</v>
      </c>
      <c r="N40" s="14">
        <f>I40*Resumen!$C$6+J40*Resumen!$C$7+K40*Resumen!$C$8</f>
        <v>0.9</v>
      </c>
      <c r="O40" s="13">
        <f t="shared" si="13"/>
        <v>60.876000000000005</v>
      </c>
      <c r="P40" s="13">
        <f t="shared" si="14"/>
        <v>6.7639999999999958</v>
      </c>
      <c r="Q40" s="14">
        <f t="shared" si="15"/>
        <v>0.90909090909090906</v>
      </c>
      <c r="R40" s="13">
        <f t="shared" si="16"/>
        <v>61.490909090909092</v>
      </c>
      <c r="S40" s="13">
        <f t="shared" si="17"/>
        <v>67.64</v>
      </c>
      <c r="T40" s="8" t="str">
        <f t="shared" si="18"/>
        <v>Con entregas</v>
      </c>
      <c r="U40" s="14">
        <f>I40*Resumen!$C$6+J40*Resumen!$C$7+K40*Resumen!$C$9</f>
        <v>1</v>
      </c>
      <c r="V40" s="13">
        <f t="shared" si="19"/>
        <v>67.64</v>
      </c>
      <c r="W40" s="21">
        <f t="shared" si="20"/>
        <v>1</v>
      </c>
      <c r="X40" s="14">
        <f t="shared" si="21"/>
        <v>1</v>
      </c>
      <c r="Y40" s="14">
        <f t="shared" si="22"/>
        <v>0.9</v>
      </c>
      <c r="Z40" s="14">
        <f t="shared" si="23"/>
        <v>-9.9999999999999978E-2</v>
      </c>
      <c r="AA40" s="28" t="s">
        <v>129</v>
      </c>
    </row>
    <row r="41" spans="1:27" ht="15" customHeight="1" x14ac:dyDescent="0.25">
      <c r="A41" s="8" t="s">
        <v>218</v>
      </c>
      <c r="B41" s="8" t="s">
        <v>219</v>
      </c>
      <c r="C41" s="8" t="s">
        <v>177</v>
      </c>
      <c r="D41" s="8" t="s">
        <v>161</v>
      </c>
      <c r="E41" s="8" t="s">
        <v>128</v>
      </c>
      <c r="F41" s="16">
        <v>248.3</v>
      </c>
      <c r="G41" s="16">
        <v>109.35</v>
      </c>
      <c r="H41" s="13">
        <f t="shared" si="12"/>
        <v>109.35</v>
      </c>
      <c r="I41" s="21">
        <v>1</v>
      </c>
      <c r="J41" s="21">
        <v>1</v>
      </c>
      <c r="K41" s="21">
        <v>1</v>
      </c>
      <c r="L41" s="15">
        <v>1.2500000000000001E-2</v>
      </c>
      <c r="M41" s="15">
        <v>1.2500000000000001E-2</v>
      </c>
      <c r="N41" s="14">
        <f>I41*Resumen!$C$6+J41*Resumen!$C$7+K41*Resumen!$C$8</f>
        <v>0.9</v>
      </c>
      <c r="O41" s="13">
        <f t="shared" si="13"/>
        <v>98.414999999999992</v>
      </c>
      <c r="P41" s="13">
        <f t="shared" si="14"/>
        <v>10.935000000000002</v>
      </c>
      <c r="Q41" s="14">
        <f t="shared" si="15"/>
        <v>1</v>
      </c>
      <c r="R41" s="13">
        <f t="shared" si="16"/>
        <v>109.35</v>
      </c>
      <c r="S41" s="13">
        <f t="shared" si="17"/>
        <v>109.35</v>
      </c>
      <c r="T41" s="8" t="str">
        <f t="shared" si="18"/>
        <v>Con entregas</v>
      </c>
      <c r="U41" s="14">
        <f>I41*Resumen!$C$6+J41*Resumen!$C$7+K41*Resumen!$C$9</f>
        <v>1</v>
      </c>
      <c r="V41" s="13">
        <f t="shared" si="19"/>
        <v>109.35</v>
      </c>
      <c r="W41" s="21">
        <f t="shared" si="20"/>
        <v>1</v>
      </c>
      <c r="X41" s="14">
        <f t="shared" si="21"/>
        <v>1</v>
      </c>
      <c r="Y41" s="14">
        <f t="shared" si="22"/>
        <v>0.9</v>
      </c>
      <c r="Z41" s="14">
        <f t="shared" si="23"/>
        <v>-9.9999999999999978E-2</v>
      </c>
      <c r="AA41" s="28" t="s">
        <v>129</v>
      </c>
    </row>
    <row r="42" spans="1:27" ht="15" customHeight="1" x14ac:dyDescent="0.25">
      <c r="A42" s="8" t="s">
        <v>220</v>
      </c>
      <c r="B42" s="8" t="s">
        <v>221</v>
      </c>
      <c r="C42" s="8" t="s">
        <v>157</v>
      </c>
      <c r="D42" s="8" t="s">
        <v>161</v>
      </c>
      <c r="E42" s="8" t="s">
        <v>128</v>
      </c>
      <c r="F42" s="16">
        <v>379.6</v>
      </c>
      <c r="G42" s="16">
        <v>325.63</v>
      </c>
      <c r="H42" s="13">
        <f t="shared" si="12"/>
        <v>325.63</v>
      </c>
      <c r="I42" s="21">
        <v>1</v>
      </c>
      <c r="J42" s="21">
        <v>0</v>
      </c>
      <c r="K42" s="21">
        <v>0</v>
      </c>
      <c r="L42" s="15">
        <v>3.7100000000000001E-2</v>
      </c>
      <c r="M42" s="15">
        <v>1.4999999999999999E-2</v>
      </c>
      <c r="N42" s="14">
        <f>I42*Resumen!$C$6+J42*Resumen!$C$7+K42*Resumen!$C$8</f>
        <v>0.45</v>
      </c>
      <c r="O42" s="13">
        <f t="shared" si="13"/>
        <v>146.5335</v>
      </c>
      <c r="P42" s="13">
        <f t="shared" si="14"/>
        <v>179.09649999999999</v>
      </c>
      <c r="Q42" s="14">
        <f t="shared" si="15"/>
        <v>0.40431266846361186</v>
      </c>
      <c r="R42" s="13">
        <f t="shared" si="16"/>
        <v>131.65633423180591</v>
      </c>
      <c r="S42" s="13">
        <f t="shared" si="17"/>
        <v>325.63</v>
      </c>
      <c r="T42" s="8" t="str">
        <f t="shared" si="18"/>
        <v>Con entregas</v>
      </c>
      <c r="U42" s="14">
        <f>I42*Resumen!$C$6+J42*Resumen!$C$7+K42*Resumen!$C$9</f>
        <v>0.45</v>
      </c>
      <c r="V42" s="13">
        <f t="shared" si="19"/>
        <v>146.5335</v>
      </c>
      <c r="W42" s="21">
        <f t="shared" si="20"/>
        <v>1</v>
      </c>
      <c r="X42" s="14">
        <f t="shared" si="21"/>
        <v>0.33333333333333331</v>
      </c>
      <c r="Y42" s="14">
        <f t="shared" si="22"/>
        <v>0.45</v>
      </c>
      <c r="Z42" s="14">
        <f t="shared" si="23"/>
        <v>0</v>
      </c>
      <c r="AA42" s="28" t="s">
        <v>129</v>
      </c>
    </row>
    <row r="43" spans="1:27" ht="15" customHeight="1" x14ac:dyDescent="0.25">
      <c r="A43" s="8" t="s">
        <v>222</v>
      </c>
      <c r="B43" s="8" t="s">
        <v>223</v>
      </c>
      <c r="C43" s="8" t="s">
        <v>138</v>
      </c>
      <c r="D43" s="8" t="s">
        <v>161</v>
      </c>
      <c r="E43" s="8" t="s">
        <v>128</v>
      </c>
      <c r="F43" s="16">
        <v>50.7</v>
      </c>
      <c r="H43" s="13">
        <f t="shared" si="12"/>
        <v>50.7</v>
      </c>
      <c r="I43" s="21">
        <v>0</v>
      </c>
      <c r="J43" s="21">
        <v>0</v>
      </c>
      <c r="K43" s="21">
        <v>0</v>
      </c>
      <c r="N43" s="14">
        <f>I43*Resumen!$C$6+J43*Resumen!$C$7+K43*Resumen!$C$8</f>
        <v>0</v>
      </c>
      <c r="O43" s="13">
        <f t="shared" si="13"/>
        <v>0</v>
      </c>
      <c r="P43" s="13">
        <f t="shared" si="14"/>
        <v>50.7</v>
      </c>
      <c r="Q43" s="14">
        <f t="shared" si="15"/>
        <v>0</v>
      </c>
      <c r="R43" s="13">
        <f t="shared" si="16"/>
        <v>0</v>
      </c>
      <c r="S43" s="13">
        <f t="shared" si="17"/>
        <v>0</v>
      </c>
      <c r="T43" s="8" t="str">
        <f t="shared" si="18"/>
        <v>Sin entregas</v>
      </c>
      <c r="U43" s="14">
        <f>I43*Resumen!$C$6+J43*Resumen!$C$7+K43*Resumen!$C$9</f>
        <v>0</v>
      </c>
      <c r="V43" s="13">
        <f t="shared" si="19"/>
        <v>0</v>
      </c>
      <c r="W43" s="21">
        <f t="shared" si="20"/>
        <v>0</v>
      </c>
      <c r="X43" s="14">
        <f t="shared" si="21"/>
        <v>0</v>
      </c>
      <c r="Y43" s="14">
        <f t="shared" si="22"/>
        <v>0</v>
      </c>
      <c r="Z43" s="14">
        <f t="shared" si="23"/>
        <v>0</v>
      </c>
      <c r="AA43" s="28" t="s">
        <v>129</v>
      </c>
    </row>
    <row r="44" spans="1:27" ht="15" customHeight="1" x14ac:dyDescent="0.25">
      <c r="A44" s="8" t="s">
        <v>226</v>
      </c>
      <c r="B44" s="8" t="s">
        <v>227</v>
      </c>
      <c r="C44" s="8" t="s">
        <v>185</v>
      </c>
      <c r="D44" s="8" t="s">
        <v>161</v>
      </c>
      <c r="E44" s="8" t="s">
        <v>128</v>
      </c>
      <c r="F44" s="16">
        <v>65</v>
      </c>
      <c r="G44" s="16">
        <v>147.38</v>
      </c>
      <c r="H44" s="13">
        <f t="shared" si="12"/>
        <v>147.38</v>
      </c>
      <c r="I44" s="21">
        <v>1</v>
      </c>
      <c r="J44" s="21">
        <v>1</v>
      </c>
      <c r="K44" s="21">
        <v>0</v>
      </c>
      <c r="L44" s="15">
        <v>1.6799999999999999E-2</v>
      </c>
      <c r="M44" s="15">
        <v>1.5100000000000001E-2</v>
      </c>
      <c r="N44" s="14">
        <f>I44*Resumen!$C$6+J44*Resumen!$C$7+K44*Resumen!$C$8</f>
        <v>0.9</v>
      </c>
      <c r="O44" s="13">
        <f t="shared" si="13"/>
        <v>132.642</v>
      </c>
      <c r="P44" s="13">
        <f t="shared" si="14"/>
        <v>14.738</v>
      </c>
      <c r="Q44" s="14">
        <f t="shared" si="15"/>
        <v>0.89880952380952395</v>
      </c>
      <c r="R44" s="13">
        <f t="shared" si="16"/>
        <v>132.46654761904765</v>
      </c>
      <c r="S44" s="13">
        <f t="shared" si="17"/>
        <v>147.38</v>
      </c>
      <c r="T44" s="8" t="str">
        <f t="shared" si="18"/>
        <v>Con entregas</v>
      </c>
      <c r="U44" s="14">
        <f>I44*Resumen!$C$6+J44*Resumen!$C$7+K44*Resumen!$C$9</f>
        <v>0.9</v>
      </c>
      <c r="V44" s="13">
        <f t="shared" si="19"/>
        <v>132.642</v>
      </c>
      <c r="W44" s="21">
        <f t="shared" si="20"/>
        <v>1</v>
      </c>
      <c r="X44" s="14">
        <f t="shared" si="21"/>
        <v>0.66666666666666663</v>
      </c>
      <c r="Y44" s="14">
        <f t="shared" si="22"/>
        <v>0.9</v>
      </c>
      <c r="Z44" s="14">
        <f t="shared" si="23"/>
        <v>0</v>
      </c>
      <c r="AA44" s="28" t="s">
        <v>129</v>
      </c>
    </row>
    <row r="45" spans="1:27" ht="15" customHeight="1" x14ac:dyDescent="0.25">
      <c r="A45" s="8" t="s">
        <v>230</v>
      </c>
      <c r="B45" s="8" t="s">
        <v>231</v>
      </c>
      <c r="C45" s="8" t="s">
        <v>138</v>
      </c>
      <c r="D45" s="8" t="s">
        <v>161</v>
      </c>
      <c r="E45" s="8" t="s">
        <v>128</v>
      </c>
      <c r="F45" s="16">
        <v>240.5</v>
      </c>
      <c r="G45" s="16">
        <v>235.7</v>
      </c>
      <c r="H45" s="13">
        <f t="shared" si="12"/>
        <v>235.7</v>
      </c>
      <c r="I45" s="21">
        <v>1</v>
      </c>
      <c r="J45" s="21">
        <v>1</v>
      </c>
      <c r="K45" s="21">
        <v>0</v>
      </c>
      <c r="L45" s="15">
        <v>2.6800000000000001E-2</v>
      </c>
      <c r="M45" s="15">
        <v>2.4199999999999999E-2</v>
      </c>
      <c r="N45" s="14">
        <f>I45*Resumen!$C$6+J45*Resumen!$C$7+K45*Resumen!$C$8</f>
        <v>0.9</v>
      </c>
      <c r="O45" s="13">
        <f t="shared" si="13"/>
        <v>212.13</v>
      </c>
      <c r="P45" s="13">
        <f t="shared" si="14"/>
        <v>23.569999999999993</v>
      </c>
      <c r="Q45" s="14">
        <f t="shared" si="15"/>
        <v>0.9</v>
      </c>
      <c r="R45" s="13">
        <f t="shared" si="16"/>
        <v>212.13</v>
      </c>
      <c r="S45" s="13">
        <f t="shared" si="17"/>
        <v>235.7</v>
      </c>
      <c r="T45" s="8" t="str">
        <f t="shared" si="18"/>
        <v>Con entregas</v>
      </c>
      <c r="U45" s="14">
        <f>I45*Resumen!$C$6+J45*Resumen!$C$7+K45*Resumen!$C$9</f>
        <v>0.9</v>
      </c>
      <c r="V45" s="13">
        <f t="shared" si="19"/>
        <v>212.13</v>
      </c>
      <c r="W45" s="21">
        <f t="shared" si="20"/>
        <v>1</v>
      </c>
      <c r="X45" s="14">
        <f t="shared" si="21"/>
        <v>0.66666666666666663</v>
      </c>
      <c r="Y45" s="14">
        <f t="shared" si="22"/>
        <v>0.9</v>
      </c>
      <c r="Z45" s="14">
        <f t="shared" si="23"/>
        <v>0</v>
      </c>
      <c r="AA45" s="28" t="s">
        <v>129</v>
      </c>
    </row>
    <row r="46" spans="1:27" ht="15" customHeight="1" x14ac:dyDescent="0.25">
      <c r="A46" s="8" t="s">
        <v>232</v>
      </c>
      <c r="B46" s="8" t="s">
        <v>233</v>
      </c>
      <c r="C46" s="8" t="s">
        <v>157</v>
      </c>
      <c r="D46" s="8" t="s">
        <v>161</v>
      </c>
      <c r="E46" s="8" t="s">
        <v>128</v>
      </c>
      <c r="F46" s="16">
        <v>128.69999999999999</v>
      </c>
      <c r="G46" s="16">
        <v>83.18</v>
      </c>
      <c r="H46" s="13">
        <f t="shared" si="12"/>
        <v>83.18</v>
      </c>
      <c r="I46" s="21">
        <v>1</v>
      </c>
      <c r="J46" s="21">
        <v>0</v>
      </c>
      <c r="K46" s="21">
        <v>0</v>
      </c>
      <c r="L46" s="15">
        <v>9.4999999999999998E-3</v>
      </c>
      <c r="M46" s="15">
        <v>5.9999999999999995E-4</v>
      </c>
      <c r="N46" s="14">
        <f>I46*Resumen!$C$6+J46*Resumen!$C$7+K46*Resumen!$C$8</f>
        <v>0.45</v>
      </c>
      <c r="O46" s="13">
        <f t="shared" si="13"/>
        <v>37.431000000000004</v>
      </c>
      <c r="P46" s="13">
        <f t="shared" si="14"/>
        <v>45.749000000000002</v>
      </c>
      <c r="Q46" s="14">
        <f t="shared" si="15"/>
        <v>6.3157894736842107E-2</v>
      </c>
      <c r="R46" s="13">
        <f t="shared" si="16"/>
        <v>5.253473684210527</v>
      </c>
      <c r="S46" s="13">
        <f t="shared" si="17"/>
        <v>83.18</v>
      </c>
      <c r="T46" s="8" t="str">
        <f t="shared" si="18"/>
        <v>Con entregas</v>
      </c>
      <c r="U46" s="14">
        <f>I46*Resumen!$C$6+J46*Resumen!$C$7+K46*Resumen!$C$9</f>
        <v>0.45</v>
      </c>
      <c r="V46" s="13">
        <f t="shared" si="19"/>
        <v>37.431000000000004</v>
      </c>
      <c r="W46" s="21">
        <f t="shared" si="20"/>
        <v>1</v>
      </c>
      <c r="X46" s="14">
        <f t="shared" si="21"/>
        <v>0.33333333333333331</v>
      </c>
      <c r="Y46" s="14">
        <f t="shared" si="22"/>
        <v>0.45</v>
      </c>
      <c r="Z46" s="14">
        <f t="shared" si="23"/>
        <v>0</v>
      </c>
      <c r="AA46" s="28" t="s">
        <v>129</v>
      </c>
    </row>
    <row r="47" spans="1:27" ht="15" customHeight="1" x14ac:dyDescent="0.25">
      <c r="A47" s="8" t="s">
        <v>234</v>
      </c>
      <c r="B47" s="8" t="s">
        <v>235</v>
      </c>
      <c r="C47" s="8" t="s">
        <v>138</v>
      </c>
      <c r="D47" s="8" t="s">
        <v>161</v>
      </c>
      <c r="E47" s="8" t="s">
        <v>128</v>
      </c>
      <c r="F47" s="16">
        <v>704.6</v>
      </c>
      <c r="G47" s="16">
        <v>584.66</v>
      </c>
      <c r="H47" s="13">
        <f t="shared" si="12"/>
        <v>584.66</v>
      </c>
      <c r="I47" s="21">
        <v>1</v>
      </c>
      <c r="J47" s="21">
        <v>1</v>
      </c>
      <c r="K47" s="21">
        <v>0</v>
      </c>
      <c r="L47" s="15">
        <v>6.6600000000000006E-2</v>
      </c>
      <c r="M47" s="15">
        <v>5.9900000000000002E-2</v>
      </c>
      <c r="N47" s="14">
        <f>I47*Resumen!$C$6+J47*Resumen!$C$7+K47*Resumen!$C$8</f>
        <v>0.9</v>
      </c>
      <c r="O47" s="13">
        <f t="shared" si="13"/>
        <v>526.19399999999996</v>
      </c>
      <c r="P47" s="13">
        <f t="shared" si="14"/>
        <v>58.466000000000008</v>
      </c>
      <c r="Q47" s="14">
        <f t="shared" si="15"/>
        <v>0.89939939939939939</v>
      </c>
      <c r="R47" s="13">
        <f t="shared" si="16"/>
        <v>525.84285285285284</v>
      </c>
      <c r="S47" s="13">
        <f t="shared" si="17"/>
        <v>584.66</v>
      </c>
      <c r="T47" s="8" t="str">
        <f t="shared" si="18"/>
        <v>Con entregas</v>
      </c>
      <c r="U47" s="14">
        <f>I47*Resumen!$C$6+J47*Resumen!$C$7+K47*Resumen!$C$9</f>
        <v>0.9</v>
      </c>
      <c r="V47" s="13">
        <f t="shared" si="19"/>
        <v>526.19399999999996</v>
      </c>
      <c r="W47" s="21">
        <f t="shared" si="20"/>
        <v>1</v>
      </c>
      <c r="X47" s="14">
        <f t="shared" si="21"/>
        <v>0.66666666666666663</v>
      </c>
      <c r="Y47" s="14">
        <f t="shared" si="22"/>
        <v>0.9</v>
      </c>
      <c r="Z47" s="14">
        <f t="shared" si="23"/>
        <v>0</v>
      </c>
      <c r="AA47" s="28" t="s">
        <v>129</v>
      </c>
    </row>
    <row r="48" spans="1:27" ht="15" customHeight="1" x14ac:dyDescent="0.25">
      <c r="A48" s="8" t="s">
        <v>236</v>
      </c>
      <c r="B48" s="8" t="s">
        <v>237</v>
      </c>
      <c r="C48" s="8" t="s">
        <v>157</v>
      </c>
      <c r="D48" s="8" t="s">
        <v>161</v>
      </c>
      <c r="E48" s="8" t="s">
        <v>128</v>
      </c>
      <c r="F48" s="16">
        <v>98.8</v>
      </c>
      <c r="H48" s="13">
        <f t="shared" si="12"/>
        <v>98.8</v>
      </c>
      <c r="I48" s="21">
        <v>0</v>
      </c>
      <c r="J48" s="21">
        <v>0</v>
      </c>
      <c r="K48" s="21">
        <v>0</v>
      </c>
      <c r="N48" s="14">
        <f>I48*Resumen!$C$6+J48*Resumen!$C$7+K48*Resumen!$C$8</f>
        <v>0</v>
      </c>
      <c r="O48" s="13">
        <f t="shared" si="13"/>
        <v>0</v>
      </c>
      <c r="P48" s="13">
        <f t="shared" si="14"/>
        <v>98.8</v>
      </c>
      <c r="Q48" s="14">
        <f t="shared" si="15"/>
        <v>0</v>
      </c>
      <c r="R48" s="13">
        <f t="shared" si="16"/>
        <v>0</v>
      </c>
      <c r="S48" s="13">
        <f t="shared" si="17"/>
        <v>0</v>
      </c>
      <c r="T48" s="8" t="str">
        <f t="shared" si="18"/>
        <v>Sin entregas</v>
      </c>
      <c r="U48" s="14">
        <f>I48*Resumen!$C$6+J48*Resumen!$C$7+K48*Resumen!$C$9</f>
        <v>0</v>
      </c>
      <c r="V48" s="13">
        <f t="shared" si="19"/>
        <v>0</v>
      </c>
      <c r="W48" s="21">
        <f t="shared" si="20"/>
        <v>0</v>
      </c>
      <c r="X48" s="14">
        <f t="shared" si="21"/>
        <v>0</v>
      </c>
      <c r="Y48" s="14">
        <f t="shared" si="22"/>
        <v>0</v>
      </c>
      <c r="Z48" s="14">
        <f t="shared" si="23"/>
        <v>0</v>
      </c>
      <c r="AA48" s="28" t="s">
        <v>129</v>
      </c>
    </row>
    <row r="49" spans="1:27" ht="15" customHeight="1" x14ac:dyDescent="0.25">
      <c r="A49" s="8" t="s">
        <v>240</v>
      </c>
      <c r="B49" s="8" t="s">
        <v>241</v>
      </c>
      <c r="C49" s="8" t="s">
        <v>138</v>
      </c>
      <c r="D49" s="8" t="s">
        <v>161</v>
      </c>
      <c r="E49" s="8" t="s">
        <v>128</v>
      </c>
      <c r="F49" s="16">
        <v>31.2</v>
      </c>
      <c r="H49" s="13">
        <f t="shared" si="12"/>
        <v>31.2</v>
      </c>
      <c r="I49" s="21">
        <v>0</v>
      </c>
      <c r="J49" s="21">
        <v>0</v>
      </c>
      <c r="K49" s="21">
        <v>0</v>
      </c>
      <c r="N49" s="14">
        <f>I49*Resumen!$C$6+J49*Resumen!$C$7+K49*Resumen!$C$8</f>
        <v>0</v>
      </c>
      <c r="O49" s="13">
        <f t="shared" si="13"/>
        <v>0</v>
      </c>
      <c r="P49" s="13">
        <f t="shared" si="14"/>
        <v>31.2</v>
      </c>
      <c r="Q49" s="14">
        <f t="shared" si="15"/>
        <v>0</v>
      </c>
      <c r="R49" s="13">
        <f t="shared" si="16"/>
        <v>0</v>
      </c>
      <c r="S49" s="13">
        <f t="shared" si="17"/>
        <v>0</v>
      </c>
      <c r="T49" s="8" t="str">
        <f t="shared" si="18"/>
        <v>Sin entregas</v>
      </c>
      <c r="U49" s="14">
        <f>I49*Resumen!$C$6+J49*Resumen!$C$7+K49*Resumen!$C$9</f>
        <v>0</v>
      </c>
      <c r="V49" s="13">
        <f t="shared" si="19"/>
        <v>0</v>
      </c>
      <c r="W49" s="21">
        <f t="shared" si="20"/>
        <v>0</v>
      </c>
      <c r="X49" s="14">
        <f t="shared" si="21"/>
        <v>0</v>
      </c>
      <c r="Y49" s="14">
        <f t="shared" si="22"/>
        <v>0</v>
      </c>
      <c r="Z49" s="14">
        <f t="shared" si="23"/>
        <v>0</v>
      </c>
      <c r="AA49" s="28" t="s">
        <v>129</v>
      </c>
    </row>
    <row r="50" spans="1:27" ht="15" customHeight="1" x14ac:dyDescent="0.25">
      <c r="A50" s="8" t="s">
        <v>244</v>
      </c>
      <c r="B50" s="8" t="s">
        <v>245</v>
      </c>
      <c r="C50" s="8" t="s">
        <v>149</v>
      </c>
      <c r="D50" s="8" t="s">
        <v>161</v>
      </c>
      <c r="E50" s="8" t="s">
        <v>128</v>
      </c>
      <c r="F50" s="16">
        <v>33.799999999999997</v>
      </c>
      <c r="H50" s="13">
        <f t="shared" si="12"/>
        <v>33.799999999999997</v>
      </c>
      <c r="I50" s="21">
        <v>0</v>
      </c>
      <c r="J50" s="21">
        <v>0</v>
      </c>
      <c r="K50" s="21">
        <v>0</v>
      </c>
      <c r="N50" s="14">
        <f>I50*Resumen!$C$6+J50*Resumen!$C$7+K50*Resumen!$C$8</f>
        <v>0</v>
      </c>
      <c r="O50" s="13">
        <f t="shared" si="13"/>
        <v>0</v>
      </c>
      <c r="P50" s="13">
        <f t="shared" si="14"/>
        <v>33.799999999999997</v>
      </c>
      <c r="Q50" s="14">
        <f t="shared" si="15"/>
        <v>0</v>
      </c>
      <c r="R50" s="13">
        <f t="shared" si="16"/>
        <v>0</v>
      </c>
      <c r="S50" s="13">
        <f t="shared" si="17"/>
        <v>0</v>
      </c>
      <c r="T50" s="8" t="str">
        <f t="shared" si="18"/>
        <v>Sin entregas</v>
      </c>
      <c r="U50" s="14">
        <f>I50*Resumen!$C$6+J50*Resumen!$C$7+K50*Resumen!$C$9</f>
        <v>0</v>
      </c>
      <c r="V50" s="13">
        <f t="shared" si="19"/>
        <v>0</v>
      </c>
      <c r="W50" s="21">
        <f t="shared" si="20"/>
        <v>0</v>
      </c>
      <c r="X50" s="14">
        <f t="shared" si="21"/>
        <v>0</v>
      </c>
      <c r="Y50" s="14">
        <f t="shared" si="22"/>
        <v>0</v>
      </c>
      <c r="Z50" s="14">
        <f t="shared" si="23"/>
        <v>0</v>
      </c>
      <c r="AA50" s="28" t="s">
        <v>129</v>
      </c>
    </row>
    <row r="51" spans="1:27" ht="15" customHeight="1" x14ac:dyDescent="0.25">
      <c r="A51" s="8" t="s">
        <v>248</v>
      </c>
      <c r="B51" s="8" t="s">
        <v>249</v>
      </c>
      <c r="C51" s="8" t="s">
        <v>138</v>
      </c>
      <c r="D51" s="8" t="s">
        <v>161</v>
      </c>
      <c r="E51" s="8" t="s">
        <v>128</v>
      </c>
      <c r="F51" s="16">
        <v>345.8</v>
      </c>
      <c r="G51" s="16">
        <v>280.66000000000003</v>
      </c>
      <c r="H51" s="13">
        <f t="shared" si="12"/>
        <v>280.66000000000003</v>
      </c>
      <c r="I51" s="21">
        <v>1</v>
      </c>
      <c r="J51" s="21">
        <v>1</v>
      </c>
      <c r="K51" s="21">
        <v>0</v>
      </c>
      <c r="L51" s="15">
        <v>3.2000000000000001E-2</v>
      </c>
      <c r="M51" s="15">
        <v>2.8799999999999999E-2</v>
      </c>
      <c r="N51" s="14">
        <f>I51*Resumen!$C$6+J51*Resumen!$C$7+K51*Resumen!$C$8</f>
        <v>0.9</v>
      </c>
      <c r="O51" s="13">
        <f t="shared" si="13"/>
        <v>252.59400000000002</v>
      </c>
      <c r="P51" s="13">
        <f t="shared" si="14"/>
        <v>28.066000000000003</v>
      </c>
      <c r="Q51" s="14">
        <f t="shared" si="15"/>
        <v>0.89999999999999991</v>
      </c>
      <c r="R51" s="13">
        <f t="shared" si="16"/>
        <v>252.59399999999999</v>
      </c>
      <c r="S51" s="13">
        <f t="shared" si="17"/>
        <v>280.66000000000003</v>
      </c>
      <c r="T51" s="8" t="str">
        <f t="shared" si="18"/>
        <v>Con entregas</v>
      </c>
      <c r="U51" s="14">
        <f>I51*Resumen!$C$6+J51*Resumen!$C$7+K51*Resumen!$C$9</f>
        <v>0.9</v>
      </c>
      <c r="V51" s="13">
        <f t="shared" si="19"/>
        <v>252.59400000000002</v>
      </c>
      <c r="W51" s="21">
        <f t="shared" si="20"/>
        <v>1</v>
      </c>
      <c r="X51" s="14">
        <f t="shared" si="21"/>
        <v>0.66666666666666663</v>
      </c>
      <c r="Y51" s="14">
        <f t="shared" si="22"/>
        <v>0.9</v>
      </c>
      <c r="Z51" s="14">
        <f t="shared" si="23"/>
        <v>0</v>
      </c>
      <c r="AA51" s="28" t="s">
        <v>129</v>
      </c>
    </row>
    <row r="52" spans="1:27" ht="15" customHeight="1" x14ac:dyDescent="0.25">
      <c r="A52" s="8" t="s">
        <v>250</v>
      </c>
      <c r="B52" s="8" t="s">
        <v>251</v>
      </c>
      <c r="C52" s="8" t="s">
        <v>177</v>
      </c>
      <c r="D52" s="8" t="s">
        <v>161</v>
      </c>
      <c r="E52" s="8" t="s">
        <v>128</v>
      </c>
      <c r="F52" s="16">
        <v>366.6</v>
      </c>
      <c r="G52" s="16">
        <v>315.47000000000003</v>
      </c>
      <c r="H52" s="13">
        <f t="shared" si="12"/>
        <v>315.47000000000003</v>
      </c>
      <c r="I52" s="21">
        <v>1</v>
      </c>
      <c r="J52" s="21">
        <v>1</v>
      </c>
      <c r="K52" s="21">
        <v>0</v>
      </c>
      <c r="L52" s="15">
        <v>3.5900000000000001E-2</v>
      </c>
      <c r="M52" s="15">
        <v>3.2300000000000002E-2</v>
      </c>
      <c r="N52" s="14">
        <f>I52*Resumen!$C$6+J52*Resumen!$C$7+K52*Resumen!$C$8</f>
        <v>0.9</v>
      </c>
      <c r="O52" s="13">
        <f t="shared" si="13"/>
        <v>283.92300000000006</v>
      </c>
      <c r="P52" s="13">
        <f t="shared" si="14"/>
        <v>31.546999999999969</v>
      </c>
      <c r="Q52" s="14">
        <f t="shared" si="15"/>
        <v>0.89972144846796664</v>
      </c>
      <c r="R52" s="13">
        <f t="shared" si="16"/>
        <v>283.83512534818948</v>
      </c>
      <c r="S52" s="13">
        <f t="shared" si="17"/>
        <v>315.47000000000003</v>
      </c>
      <c r="T52" s="8" t="str">
        <f t="shared" si="18"/>
        <v>Con entregas</v>
      </c>
      <c r="U52" s="14">
        <f>I52*Resumen!$C$6+J52*Resumen!$C$7+K52*Resumen!$C$9</f>
        <v>0.9</v>
      </c>
      <c r="V52" s="13">
        <f t="shared" si="19"/>
        <v>283.92300000000006</v>
      </c>
      <c r="W52" s="21">
        <f t="shared" si="20"/>
        <v>1</v>
      </c>
      <c r="X52" s="14">
        <f t="shared" si="21"/>
        <v>0.66666666666666663</v>
      </c>
      <c r="Y52" s="14">
        <f t="shared" si="22"/>
        <v>0.9</v>
      </c>
      <c r="Z52" s="14">
        <f t="shared" si="23"/>
        <v>0</v>
      </c>
      <c r="AA52" s="28" t="s">
        <v>129</v>
      </c>
    </row>
    <row r="53" spans="1:27" ht="15" customHeight="1" x14ac:dyDescent="0.25">
      <c r="A53" s="8" t="s">
        <v>269</v>
      </c>
      <c r="B53" s="8" t="s">
        <v>270</v>
      </c>
      <c r="C53" s="8" t="s">
        <v>180</v>
      </c>
      <c r="D53" s="8" t="s">
        <v>161</v>
      </c>
      <c r="E53" s="8" t="s">
        <v>128</v>
      </c>
      <c r="F53" s="16">
        <v>204.1</v>
      </c>
      <c r="H53" s="13">
        <f t="shared" si="12"/>
        <v>204.1</v>
      </c>
      <c r="I53" s="21">
        <v>0</v>
      </c>
      <c r="J53" s="21">
        <v>0</v>
      </c>
      <c r="K53" s="21">
        <v>0</v>
      </c>
      <c r="N53" s="14">
        <f>I53*Resumen!$C$6+J53*Resumen!$C$7+K53*Resumen!$C$8</f>
        <v>0</v>
      </c>
      <c r="O53" s="13">
        <f t="shared" si="13"/>
        <v>0</v>
      </c>
      <c r="P53" s="13">
        <f t="shared" si="14"/>
        <v>204.1</v>
      </c>
      <c r="Q53" s="14">
        <f t="shared" si="15"/>
        <v>0</v>
      </c>
      <c r="R53" s="13">
        <f t="shared" si="16"/>
        <v>0</v>
      </c>
      <c r="S53" s="13">
        <f t="shared" si="17"/>
        <v>0</v>
      </c>
      <c r="T53" s="8" t="str">
        <f t="shared" si="18"/>
        <v>Sin entregas</v>
      </c>
      <c r="U53" s="14">
        <f>I53*Resumen!$C$6+J53*Resumen!$C$7+K53*Resumen!$C$9</f>
        <v>0</v>
      </c>
      <c r="V53" s="13">
        <f t="shared" si="19"/>
        <v>0</v>
      </c>
      <c r="W53" s="21">
        <f t="shared" si="20"/>
        <v>0</v>
      </c>
      <c r="X53" s="14">
        <f t="shared" si="21"/>
        <v>0</v>
      </c>
      <c r="Y53" s="14">
        <f t="shared" si="22"/>
        <v>0</v>
      </c>
      <c r="Z53" s="14">
        <f t="shared" si="23"/>
        <v>0</v>
      </c>
      <c r="AA53" s="28" t="s">
        <v>129</v>
      </c>
    </row>
    <row r="54" spans="1:27" ht="15" customHeight="1" x14ac:dyDescent="0.25">
      <c r="A54" s="22"/>
      <c r="B54" s="10" t="s">
        <v>252</v>
      </c>
      <c r="C54" s="22"/>
      <c r="D54" s="22"/>
      <c r="E54" s="22"/>
      <c r="F54" s="23">
        <f t="shared" ref="F54:K54" si="24">SUM(F5:F53)</f>
        <v>8909.11</v>
      </c>
      <c r="G54" s="23">
        <f t="shared" si="24"/>
        <v>5148.9299999999994</v>
      </c>
      <c r="H54" s="23">
        <f t="shared" si="24"/>
        <v>8338.0400000000009</v>
      </c>
      <c r="I54" s="10">
        <f t="shared" si="24"/>
        <v>20</v>
      </c>
      <c r="J54" s="10">
        <f t="shared" si="24"/>
        <v>16</v>
      </c>
      <c r="K54" s="10">
        <f t="shared" si="24"/>
        <v>6</v>
      </c>
      <c r="L54" s="22"/>
      <c r="M54" s="22"/>
      <c r="N54" s="24">
        <f>IF(H54=0,0,O54/H54)</f>
        <v>0.47138110395248761</v>
      </c>
      <c r="O54" s="23">
        <f>SUM(O5:O53)</f>
        <v>3930.3945000000003</v>
      </c>
      <c r="P54" s="23">
        <f>SUM(P5:P53)</f>
        <v>4407.6454999999996</v>
      </c>
      <c r="Q54" s="24">
        <f>IF(H54=0,0,R54/H54)</f>
        <v>0.47796261228364995</v>
      </c>
      <c r="R54" s="23">
        <f>SUM(R5:R53)</f>
        <v>3985.2713797255651</v>
      </c>
      <c r="S54" s="23">
        <f>SUM(S5:S53)</f>
        <v>5148.9299999999994</v>
      </c>
      <c r="T54" s="10" t="str">
        <f>COUNTIF(T5:T53,"Con entregas")&amp;" de "&amp;COUNTA(B5:B53)&amp;" municipios"</f>
        <v>20 de 49 municipios</v>
      </c>
      <c r="U54" s="14"/>
      <c r="V54" s="13"/>
      <c r="W54" s="21"/>
      <c r="X54" s="14"/>
      <c r="Y54" s="14"/>
      <c r="Z54" s="14"/>
      <c r="AA54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73"/>
  <sheetViews>
    <sheetView zoomScale="40" zoomScaleNormal="4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V6" sqref="V6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5" width="10" style="4" customWidth="1"/>
    <col min="6" max="8" width="14" style="4" customWidth="1"/>
    <col min="9" max="11" width="13" style="4" customWidth="1"/>
    <col min="12" max="12" width="48" style="4" customWidth="1"/>
    <col min="13" max="19" width="13" style="4" customWidth="1"/>
    <col min="20" max="20" width="40" style="4" customWidth="1"/>
    <col min="21" max="21" width="13" style="4" customWidth="1"/>
    <col min="22" max="22" width="24" style="4" customWidth="1"/>
    <col min="23" max="34" width="11" style="4" customWidth="1"/>
  </cols>
  <sheetData>
    <row r="1" spans="1:34" ht="15" customHeight="1" x14ac:dyDescent="0.25">
      <c r="A1" s="5" t="s">
        <v>271</v>
      </c>
    </row>
    <row r="2" spans="1:34" ht="15" customHeight="1" x14ac:dyDescent="0.25">
      <c r="A2" s="6" t="s">
        <v>272</v>
      </c>
    </row>
    <row r="4" spans="1:34" ht="51.75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101</v>
      </c>
      <c r="F4" s="20" t="s">
        <v>102</v>
      </c>
      <c r="G4" s="20" t="s">
        <v>103</v>
      </c>
      <c r="H4" s="20" t="s">
        <v>104</v>
      </c>
      <c r="I4" s="20" t="s">
        <v>273</v>
      </c>
      <c r="J4" s="20" t="s">
        <v>274</v>
      </c>
      <c r="K4" s="20" t="s">
        <v>275</v>
      </c>
      <c r="L4" s="20" t="s">
        <v>276</v>
      </c>
      <c r="M4" s="20" t="s">
        <v>277</v>
      </c>
      <c r="N4" s="20" t="s">
        <v>278</v>
      </c>
      <c r="O4" s="20" t="s">
        <v>279</v>
      </c>
      <c r="P4" s="20" t="s">
        <v>280</v>
      </c>
      <c r="Q4" s="20" t="s">
        <v>281</v>
      </c>
      <c r="R4" s="20" t="s">
        <v>282</v>
      </c>
      <c r="S4" s="20" t="s">
        <v>283</v>
      </c>
      <c r="T4" s="20" t="s">
        <v>284</v>
      </c>
      <c r="U4" s="20" t="s">
        <v>285</v>
      </c>
      <c r="V4" s="20" t="s">
        <v>116</v>
      </c>
      <c r="W4" s="25" t="s">
        <v>286</v>
      </c>
      <c r="X4" s="25" t="s">
        <v>287</v>
      </c>
      <c r="Y4" s="25" t="s">
        <v>288</v>
      </c>
      <c r="Z4" s="25" t="s">
        <v>289</v>
      </c>
      <c r="AA4" s="25" t="s">
        <v>290</v>
      </c>
      <c r="AB4" s="25" t="s">
        <v>291</v>
      </c>
      <c r="AC4" s="25" t="s">
        <v>292</v>
      </c>
      <c r="AD4" s="25" t="s">
        <v>293</v>
      </c>
      <c r="AE4" s="25" t="s">
        <v>294</v>
      </c>
      <c r="AF4" s="25" t="s">
        <v>295</v>
      </c>
      <c r="AG4" s="25" t="s">
        <v>296</v>
      </c>
      <c r="AH4" s="25" t="s">
        <v>297</v>
      </c>
    </row>
    <row r="5" spans="1:34" ht="23.85" customHeight="1" x14ac:dyDescent="0.25">
      <c r="A5" s="8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16">
        <v>24405</v>
      </c>
      <c r="G5" s="16">
        <v>24404.89</v>
      </c>
      <c r="H5" s="13">
        <f t="shared" ref="H5:H36" si="0">IF(G5="",F5,G5)</f>
        <v>24404.89</v>
      </c>
      <c r="I5" s="21">
        <v>1</v>
      </c>
      <c r="J5" s="21">
        <v>1</v>
      </c>
      <c r="K5" s="21">
        <v>1</v>
      </c>
      <c r="L5" s="8" t="s">
        <v>298</v>
      </c>
      <c r="M5" s="14">
        <f>Y5*Resumen!$C$6+AC5*Resumen!$C$7+AG5*Resumen!$C$9</f>
        <v>1</v>
      </c>
      <c r="N5" s="14">
        <f>Z5*Resumen!$C$6+AD5*Resumen!$C$7+AH5*Resumen!$C$9</f>
        <v>1</v>
      </c>
      <c r="O5" s="13">
        <f t="shared" ref="O5:O36" si="1">H5*M5</f>
        <v>24404.89</v>
      </c>
      <c r="P5" s="13">
        <f t="shared" ref="P5:P36" si="2">H5*N5</f>
        <v>24404.89</v>
      </c>
      <c r="Q5" s="21" t="s">
        <v>299</v>
      </c>
      <c r="R5" s="21" t="s">
        <v>299</v>
      </c>
      <c r="S5" s="21" t="s">
        <v>299</v>
      </c>
      <c r="T5" s="8" t="s">
        <v>300</v>
      </c>
      <c r="U5" s="13">
        <f>H5*((Q5="Oficial")*Resumen!$C$6+(R5="Oficial")*Resumen!$C$7+(S5="Oficial")*Resumen!$C$9)</f>
        <v>0</v>
      </c>
      <c r="V5" s="8" t="str">
        <f t="shared" ref="V5:V36" si="3">IF(COUNTIF(I5:K5,1)&gt;0,"Con entregas verificadas",IF(COUNTBLANK(I5:K5)&gt;0,"Sin evidencia municipal","Sin entregas"))</f>
        <v>Con entregas verificadas</v>
      </c>
      <c r="W5" s="8" t="str">
        <f>IF(I5="",SUMPRODUCT(($I$5:$I$69="")*($H$5:$H$69&lt;H5))+SUMPRODUCT((I$5:I5="")*($H$5:H5=H5)),"")</f>
        <v/>
      </c>
      <c r="X5" s="8" t="str">
        <f>IF(I5="",SUMPRODUCT(($I$5:$I$69="")*($H$5:$H$69&gt;H5))+SUMPRODUCT((I$5:I5="")*($H$5:H5=H5)),"")</f>
        <v/>
      </c>
      <c r="Y5" s="8">
        <f t="shared" ref="Y5:Y36" si="4">IF(I5="",IF(W5&lt;=$I$73,1,0),I5)</f>
        <v>1</v>
      </c>
      <c r="Z5" s="8">
        <f t="shared" ref="Z5:Z36" si="5">IF(I5="",IF(X5&lt;=$I$73,1,0),I5)</f>
        <v>1</v>
      </c>
      <c r="AA5" s="8" t="str">
        <f>IF(J5="",SUMPRODUCT(($J$5:$J$69="")*($H$5:$H$69&lt;H5))+SUMPRODUCT((J$5:J5="")*($H$5:H5=H5)),"")</f>
        <v/>
      </c>
      <c r="AB5" s="8" t="str">
        <f>IF(J5="",SUMPRODUCT(($J$5:$J$69="")*($H$5:$H$69&gt;H5))+SUMPRODUCT((J$5:J5="")*($H$5:H5=H5)),"")</f>
        <v/>
      </c>
      <c r="AC5" s="8">
        <f t="shared" ref="AC5:AC36" si="6">IF(J5="",IF(AA5&lt;=$J$73,1,0),J5)</f>
        <v>1</v>
      </c>
      <c r="AD5" s="8">
        <f t="shared" ref="AD5:AD36" si="7">IF(J5="",IF(AB5&lt;=$J$73,1,0),J5)</f>
        <v>1</v>
      </c>
      <c r="AE5" s="8" t="str">
        <f>IF(K5="",SUMPRODUCT(($K$5:$K$69="")*($H$5:$H$69&lt;H5))+SUMPRODUCT((K$5:K5="")*($H$5:H5=H5)),"")</f>
        <v/>
      </c>
      <c r="AF5" s="8" t="str">
        <f>IF(K5="",SUMPRODUCT(($K$5:$K$69="")*($H$5:$H$69&gt;H5))+SUMPRODUCT((K$5:K5="")*($H$5:H5=H5)),"")</f>
        <v/>
      </c>
      <c r="AG5" s="8">
        <f t="shared" ref="AG5:AG36" si="8">IF(K5="",IF(AE5&lt;=$K$73,1,0),K5)</f>
        <v>1</v>
      </c>
      <c r="AH5" s="8">
        <f t="shared" ref="AH5:AH36" si="9">IF(K5="",IF(AF5&lt;=$K$73,1,0),K5)</f>
        <v>1</v>
      </c>
    </row>
    <row r="6" spans="1:34" ht="15" customHeight="1" x14ac:dyDescent="0.25">
      <c r="A6" s="8" t="s">
        <v>130</v>
      </c>
      <c r="B6" s="8" t="s">
        <v>131</v>
      </c>
      <c r="C6" s="8" t="s">
        <v>126</v>
      </c>
      <c r="D6" s="8" t="s">
        <v>127</v>
      </c>
      <c r="E6" s="8" t="s">
        <v>128</v>
      </c>
      <c r="F6" s="16">
        <v>20260</v>
      </c>
      <c r="H6" s="13">
        <f t="shared" si="0"/>
        <v>20260</v>
      </c>
      <c r="I6" s="26"/>
      <c r="J6" s="26"/>
      <c r="K6" s="21">
        <v>0</v>
      </c>
      <c r="L6" s="8" t="s">
        <v>301</v>
      </c>
      <c r="M6" s="14">
        <f>Y6*Resumen!$C$6+AC6*Resumen!$C$7+AG6*Resumen!$C$9</f>
        <v>0.9</v>
      </c>
      <c r="N6" s="14">
        <f>Z6*Resumen!$C$6+AD6*Resumen!$C$7+AH6*Resumen!$C$9</f>
        <v>0</v>
      </c>
      <c r="O6" s="13">
        <f t="shared" si="1"/>
        <v>18234</v>
      </c>
      <c r="P6" s="13">
        <f t="shared" si="2"/>
        <v>0</v>
      </c>
      <c r="Q6" s="27"/>
      <c r="R6" s="27"/>
      <c r="S6" s="27"/>
      <c r="T6" s="28"/>
      <c r="U6" s="13">
        <f>H6*((Q6="Oficial")*Resumen!$C$6+(R6="Oficial")*Resumen!$C$7+(S6="Oficial")*Resumen!$C$9)</f>
        <v>0</v>
      </c>
      <c r="V6" s="8" t="str">
        <f t="shared" si="3"/>
        <v>Sin evidencia municipal</v>
      </c>
      <c r="W6" s="8">
        <f>IF(I6="",SUMPRODUCT(($I$5:$I$69="")*($H$5:$H$69&lt;H6))+SUMPRODUCT((I$5:I6="")*($H$5:H6=H6)),"")</f>
        <v>7</v>
      </c>
      <c r="X6" s="8">
        <f>IF(I6="",SUMPRODUCT(($I$5:$I$69="")*($H$5:$H$69&gt;H6))+SUMPRODUCT((I$5:I6="")*($H$5:H6=H6)),"")</f>
        <v>42</v>
      </c>
      <c r="Y6" s="8">
        <f t="shared" si="4"/>
        <v>1</v>
      </c>
      <c r="Z6" s="8">
        <f t="shared" si="5"/>
        <v>0</v>
      </c>
      <c r="AA6" s="8">
        <f>IF(J6="",SUMPRODUCT(($J$5:$J$69="")*($H$5:$H$69&lt;H6))+SUMPRODUCT((J$5:J6="")*($H$5:H6=H6)),"")</f>
        <v>7</v>
      </c>
      <c r="AB6" s="8">
        <f>IF(J6="",SUMPRODUCT(($J$5:$J$69="")*($H$5:$H$69&gt;H6))+SUMPRODUCT((J$5:J6="")*($H$5:H6=H6)),"")</f>
        <v>42</v>
      </c>
      <c r="AC6" s="8">
        <f t="shared" si="6"/>
        <v>1</v>
      </c>
      <c r="AD6" s="8">
        <f t="shared" si="7"/>
        <v>0</v>
      </c>
      <c r="AE6" s="8" t="str">
        <f>IF(K6="",SUMPRODUCT(($K$5:$K$69="")*($H$5:$H$69&lt;H6))+SUMPRODUCT((K$5:K6="")*($H$5:H6=H6)),"")</f>
        <v/>
      </c>
      <c r="AF6" s="8" t="str">
        <f>IF(K6="",SUMPRODUCT(($K$5:$K$69="")*($H$5:$H$69&gt;H6))+SUMPRODUCT((K$5:K6="")*($H$5:H6=H6)),"")</f>
        <v/>
      </c>
      <c r="AG6" s="8">
        <f t="shared" si="8"/>
        <v>0</v>
      </c>
      <c r="AH6" s="8">
        <f t="shared" si="9"/>
        <v>0</v>
      </c>
    </row>
    <row r="7" spans="1:34" ht="23.85" customHeight="1" x14ac:dyDescent="0.25">
      <c r="A7" s="8" t="s">
        <v>132</v>
      </c>
      <c r="B7" s="8" t="s">
        <v>133</v>
      </c>
      <c r="C7" s="8" t="s">
        <v>126</v>
      </c>
      <c r="D7" s="8" t="s">
        <v>127</v>
      </c>
      <c r="E7" s="8" t="s">
        <v>128</v>
      </c>
      <c r="F7" s="16">
        <v>72395</v>
      </c>
      <c r="G7" s="16">
        <v>72394.570000000007</v>
      </c>
      <c r="H7" s="13">
        <f t="shared" si="0"/>
        <v>72394.570000000007</v>
      </c>
      <c r="I7" s="21">
        <v>1</v>
      </c>
      <c r="J7" s="21">
        <v>1</v>
      </c>
      <c r="K7" s="21">
        <v>1</v>
      </c>
      <c r="L7" s="8" t="s">
        <v>298</v>
      </c>
      <c r="M7" s="14">
        <f>Y7*Resumen!$C$6+AC7*Resumen!$C$7+AG7*Resumen!$C$9</f>
        <v>1</v>
      </c>
      <c r="N7" s="14">
        <f>Z7*Resumen!$C$6+AD7*Resumen!$C$7+AH7*Resumen!$C$9</f>
        <v>1</v>
      </c>
      <c r="O7" s="13">
        <f t="shared" si="1"/>
        <v>72394.570000000007</v>
      </c>
      <c r="P7" s="13">
        <f t="shared" si="2"/>
        <v>72394.570000000007</v>
      </c>
      <c r="Q7" s="21" t="s">
        <v>299</v>
      </c>
      <c r="R7" s="21" t="s">
        <v>299</v>
      </c>
      <c r="S7" s="21" t="s">
        <v>299</v>
      </c>
      <c r="T7" s="8" t="s">
        <v>302</v>
      </c>
      <c r="U7" s="13">
        <f>H7*((Q7="Oficial")*Resumen!$C$6+(R7="Oficial")*Resumen!$C$7+(S7="Oficial")*Resumen!$C$9)</f>
        <v>0</v>
      </c>
      <c r="V7" s="8" t="str">
        <f t="shared" si="3"/>
        <v>Con entregas verificadas</v>
      </c>
      <c r="W7" s="8" t="str">
        <f>IF(I7="",SUMPRODUCT(($I$5:$I$69="")*($H$5:$H$69&lt;H7))+SUMPRODUCT((I$5:I7="")*($H$5:H7=H7)),"")</f>
        <v/>
      </c>
      <c r="X7" s="8" t="str">
        <f>IF(I7="",SUMPRODUCT(($I$5:$I$69="")*($H$5:$H$69&gt;H7))+SUMPRODUCT((I$5:I7="")*($H$5:H7=H7)),"")</f>
        <v/>
      </c>
      <c r="Y7" s="8">
        <f t="shared" si="4"/>
        <v>1</v>
      </c>
      <c r="Z7" s="8">
        <f t="shared" si="5"/>
        <v>1</v>
      </c>
      <c r="AA7" s="8" t="str">
        <f>IF(J7="",SUMPRODUCT(($J$5:$J$69="")*($H$5:$H$69&lt;H7))+SUMPRODUCT((J$5:J7="")*($H$5:H7=H7)),"")</f>
        <v/>
      </c>
      <c r="AB7" s="8" t="str">
        <f>IF(J7="",SUMPRODUCT(($J$5:$J$69="")*($H$5:$H$69&gt;H7))+SUMPRODUCT((J$5:J7="")*($H$5:H7=H7)),"")</f>
        <v/>
      </c>
      <c r="AC7" s="8">
        <f t="shared" si="6"/>
        <v>1</v>
      </c>
      <c r="AD7" s="8">
        <f t="shared" si="7"/>
        <v>1</v>
      </c>
      <c r="AE7" s="8" t="str">
        <f>IF(K7="",SUMPRODUCT(($K$5:$K$69="")*($H$5:$H$69&lt;H7))+SUMPRODUCT((K$5:K7="")*($H$5:H7=H7)),"")</f>
        <v/>
      </c>
      <c r="AF7" s="8" t="str">
        <f>IF(K7="",SUMPRODUCT(($K$5:$K$69="")*($H$5:$H$69&gt;H7))+SUMPRODUCT((K$5:K7="")*($H$5:H7=H7)),"")</f>
        <v/>
      </c>
      <c r="AG7" s="8">
        <f t="shared" si="8"/>
        <v>1</v>
      </c>
      <c r="AH7" s="8">
        <f t="shared" si="9"/>
        <v>1</v>
      </c>
    </row>
    <row r="8" spans="1:34" ht="15" customHeight="1" x14ac:dyDescent="0.25">
      <c r="A8" s="8" t="s">
        <v>134</v>
      </c>
      <c r="B8" s="8" t="s">
        <v>135</v>
      </c>
      <c r="C8" s="8" t="s">
        <v>126</v>
      </c>
      <c r="D8" s="8" t="s">
        <v>127</v>
      </c>
      <c r="E8" s="8" t="s">
        <v>128</v>
      </c>
      <c r="F8" s="16">
        <v>35717</v>
      </c>
      <c r="H8" s="13">
        <f t="shared" si="0"/>
        <v>35717</v>
      </c>
      <c r="I8" s="21">
        <v>0</v>
      </c>
      <c r="J8" s="21">
        <v>0</v>
      </c>
      <c r="K8" s="26"/>
      <c r="L8" s="8" t="s">
        <v>303</v>
      </c>
      <c r="M8" s="14">
        <f>Y8*Resumen!$C$6+AC8*Resumen!$C$7+AG8*Resumen!$C$9</f>
        <v>0.1</v>
      </c>
      <c r="N8" s="14">
        <f>Z8*Resumen!$C$6+AD8*Resumen!$C$7+AH8*Resumen!$C$9</f>
        <v>0</v>
      </c>
      <c r="O8" s="13">
        <f t="shared" si="1"/>
        <v>3571.7000000000003</v>
      </c>
      <c r="P8" s="13">
        <f t="shared" si="2"/>
        <v>0</v>
      </c>
      <c r="Q8" s="27"/>
      <c r="R8" s="27"/>
      <c r="S8" s="27"/>
      <c r="T8" s="28"/>
      <c r="U8" s="13">
        <f>H8*((Q8="Oficial")*Resumen!$C$6+(R8="Oficial")*Resumen!$C$7+(S8="Oficial")*Resumen!$C$9)</f>
        <v>0</v>
      </c>
      <c r="V8" s="8" t="str">
        <f t="shared" si="3"/>
        <v>Sin evidencia municipal</v>
      </c>
      <c r="W8" s="8" t="str">
        <f>IF(I8="",SUMPRODUCT(($I$5:$I$69="")*($H$5:$H$69&lt;H8))+SUMPRODUCT((I$5:I8="")*($H$5:H8=H8)),"")</f>
        <v/>
      </c>
      <c r="X8" s="8" t="str">
        <f>IF(I8="",SUMPRODUCT(($I$5:$I$69="")*($H$5:$H$69&gt;H8))+SUMPRODUCT((I$5:I8="")*($H$5:H8=H8)),"")</f>
        <v/>
      </c>
      <c r="Y8" s="8">
        <f t="shared" si="4"/>
        <v>0</v>
      </c>
      <c r="Z8" s="8">
        <f t="shared" si="5"/>
        <v>0</v>
      </c>
      <c r="AA8" s="8" t="str">
        <f>IF(J8="",SUMPRODUCT(($J$5:$J$69="")*($H$5:$H$69&lt;H8))+SUMPRODUCT((J$5:J8="")*($H$5:H8=H8)),"")</f>
        <v/>
      </c>
      <c r="AB8" s="8" t="str">
        <f>IF(J8="",SUMPRODUCT(($J$5:$J$69="")*($H$5:$H$69&gt;H8))+SUMPRODUCT((J$5:J8="")*($H$5:H8=H8)),"")</f>
        <v/>
      </c>
      <c r="AC8" s="8">
        <f t="shared" si="6"/>
        <v>0</v>
      </c>
      <c r="AD8" s="8">
        <f t="shared" si="7"/>
        <v>0</v>
      </c>
      <c r="AE8" s="8">
        <f>IF(K8="",SUMPRODUCT(($K$5:$K$69="")*($H$5:$H$69&lt;H8))+SUMPRODUCT((K$5:K8="")*($H$5:H8=H8)),"")</f>
        <v>13</v>
      </c>
      <c r="AF8" s="8">
        <f>IF(K8="",SUMPRODUCT(($K$5:$K$69="")*($H$5:$H$69&gt;H8))+SUMPRODUCT((K$5:K8="")*($H$5:H8=H8)),"")</f>
        <v>27</v>
      </c>
      <c r="AG8" s="8">
        <f t="shared" si="8"/>
        <v>1</v>
      </c>
      <c r="AH8" s="8">
        <f t="shared" si="9"/>
        <v>0</v>
      </c>
    </row>
    <row r="9" spans="1:34" ht="15" customHeight="1" x14ac:dyDescent="0.25">
      <c r="A9" s="8" t="s">
        <v>136</v>
      </c>
      <c r="B9" s="8" t="s">
        <v>137</v>
      </c>
      <c r="C9" s="8" t="s">
        <v>138</v>
      </c>
      <c r="D9" s="8" t="s">
        <v>139</v>
      </c>
      <c r="E9" s="8" t="s">
        <v>128</v>
      </c>
      <c r="F9" s="16">
        <v>33207</v>
      </c>
      <c r="H9" s="13">
        <f t="shared" si="0"/>
        <v>33207</v>
      </c>
      <c r="I9" s="26"/>
      <c r="J9" s="26"/>
      <c r="K9" s="26"/>
      <c r="L9" s="8" t="s">
        <v>304</v>
      </c>
      <c r="M9" s="14">
        <f>Y9*Resumen!$C$6+AC9*Resumen!$C$7+AG9*Resumen!$C$9</f>
        <v>1</v>
      </c>
      <c r="N9" s="14">
        <f>Z9*Resumen!$C$6+AD9*Resumen!$C$7+AH9*Resumen!$C$9</f>
        <v>0.9</v>
      </c>
      <c r="O9" s="13">
        <f t="shared" si="1"/>
        <v>33207</v>
      </c>
      <c r="P9" s="13">
        <f t="shared" si="2"/>
        <v>29886.3</v>
      </c>
      <c r="Q9" s="27"/>
      <c r="R9" s="27"/>
      <c r="S9" s="27"/>
      <c r="T9" s="28"/>
      <c r="U9" s="13">
        <f>H9*((Q9="Oficial")*Resumen!$C$6+(R9="Oficial")*Resumen!$C$7+(S9="Oficial")*Resumen!$C$9)</f>
        <v>0</v>
      </c>
      <c r="V9" s="8" t="str">
        <f t="shared" si="3"/>
        <v>Sin evidencia municipal</v>
      </c>
      <c r="W9" s="8">
        <f>IF(I9="",SUMPRODUCT(($I$5:$I$69="")*($H$5:$H$69&lt;H9))+SUMPRODUCT((I$5:I9="")*($H$5:H9=H9)),"")</f>
        <v>21</v>
      </c>
      <c r="X9" s="8">
        <f>IF(I9="",SUMPRODUCT(($I$5:$I$69="")*($H$5:$H$69&gt;H9))+SUMPRODUCT((I$5:I9="")*($H$5:H9=H9)),"")</f>
        <v>28</v>
      </c>
      <c r="Y9" s="8">
        <f t="shared" si="4"/>
        <v>1</v>
      </c>
      <c r="Z9" s="8">
        <f t="shared" si="5"/>
        <v>1</v>
      </c>
      <c r="AA9" s="8">
        <f>IF(J9="",SUMPRODUCT(($J$5:$J$69="")*($H$5:$H$69&lt;H9))+SUMPRODUCT((J$5:J9="")*($H$5:H9=H9)),"")</f>
        <v>21</v>
      </c>
      <c r="AB9" s="8">
        <f>IF(J9="",SUMPRODUCT(($J$5:$J$69="")*($H$5:$H$69&gt;H9))+SUMPRODUCT((J$5:J9="")*($H$5:H9=H9)),"")</f>
        <v>28</v>
      </c>
      <c r="AC9" s="8">
        <f t="shared" si="6"/>
        <v>1</v>
      </c>
      <c r="AD9" s="8">
        <f t="shared" si="7"/>
        <v>1</v>
      </c>
      <c r="AE9" s="8">
        <f>IF(K9="",SUMPRODUCT(($K$5:$K$69="")*($H$5:$H$69&lt;H9))+SUMPRODUCT((K$5:K9="")*($H$5:H9=H9)),"")</f>
        <v>11</v>
      </c>
      <c r="AF9" s="8">
        <f>IF(K9="",SUMPRODUCT(($K$5:$K$69="")*($H$5:$H$69&gt;H9))+SUMPRODUCT((K$5:K9="")*($H$5:H9=H9)),"")</f>
        <v>29</v>
      </c>
      <c r="AG9" s="8">
        <f t="shared" si="8"/>
        <v>1</v>
      </c>
      <c r="AH9" s="8">
        <f t="shared" si="9"/>
        <v>0</v>
      </c>
    </row>
    <row r="10" spans="1:34" ht="15" customHeight="1" x14ac:dyDescent="0.25">
      <c r="A10" s="8" t="s">
        <v>140</v>
      </c>
      <c r="B10" s="8" t="s">
        <v>141</v>
      </c>
      <c r="C10" s="8" t="s">
        <v>126</v>
      </c>
      <c r="D10" s="8" t="s">
        <v>142</v>
      </c>
      <c r="E10" s="8" t="s">
        <v>128</v>
      </c>
      <c r="F10" s="16">
        <v>24702</v>
      </c>
      <c r="H10" s="13">
        <f t="shared" si="0"/>
        <v>24702</v>
      </c>
      <c r="I10" s="26"/>
      <c r="J10" s="26"/>
      <c r="K10" s="21">
        <v>0</v>
      </c>
      <c r="L10" s="8" t="s">
        <v>301</v>
      </c>
      <c r="M10" s="14">
        <f>Y10*Resumen!$C$6+AC10*Resumen!$C$7+AG10*Resumen!$C$9</f>
        <v>0.9</v>
      </c>
      <c r="N10" s="14">
        <f>Z10*Resumen!$C$6+AD10*Resumen!$C$7+AH10*Resumen!$C$9</f>
        <v>0</v>
      </c>
      <c r="O10" s="13">
        <f t="shared" si="1"/>
        <v>22231.8</v>
      </c>
      <c r="P10" s="13">
        <f t="shared" si="2"/>
        <v>0</v>
      </c>
      <c r="Q10" s="27"/>
      <c r="R10" s="27"/>
      <c r="S10" s="27"/>
      <c r="T10" s="28"/>
      <c r="U10" s="13">
        <f>H10*((Q10="Oficial")*Resumen!$C$6+(R10="Oficial")*Resumen!$C$7+(S10="Oficial")*Resumen!$C$9)</f>
        <v>0</v>
      </c>
      <c r="V10" s="8" t="str">
        <f t="shared" si="3"/>
        <v>Sin evidencia municipal</v>
      </c>
      <c r="W10" s="8">
        <f>IF(I10="",SUMPRODUCT(($I$5:$I$69="")*($H$5:$H$69&lt;H10))+SUMPRODUCT((I$5:I10="")*($H$5:H10=H10)),"")</f>
        <v>13</v>
      </c>
      <c r="X10" s="8">
        <f>IF(I10="",SUMPRODUCT(($I$5:$I$69="")*($H$5:$H$69&gt;H10))+SUMPRODUCT((I$5:I10="")*($H$5:H10=H10)),"")</f>
        <v>36</v>
      </c>
      <c r="Y10" s="8">
        <f t="shared" si="4"/>
        <v>1</v>
      </c>
      <c r="Z10" s="8">
        <f t="shared" si="5"/>
        <v>0</v>
      </c>
      <c r="AA10" s="8">
        <f>IF(J10="",SUMPRODUCT(($J$5:$J$69="")*($H$5:$H$69&lt;H10))+SUMPRODUCT((J$5:J10="")*($H$5:H10=H10)),"")</f>
        <v>13</v>
      </c>
      <c r="AB10" s="8">
        <f>IF(J10="",SUMPRODUCT(($J$5:$J$69="")*($H$5:$H$69&gt;H10))+SUMPRODUCT((J$5:J10="")*($H$5:H10=H10)),"")</f>
        <v>36</v>
      </c>
      <c r="AC10" s="8">
        <f t="shared" si="6"/>
        <v>1</v>
      </c>
      <c r="AD10" s="8">
        <f t="shared" si="7"/>
        <v>0</v>
      </c>
      <c r="AE10" s="8" t="str">
        <f>IF(K10="",SUMPRODUCT(($K$5:$K$69="")*($H$5:$H$69&lt;H10))+SUMPRODUCT((K$5:K10="")*($H$5:H10=H10)),"")</f>
        <v/>
      </c>
      <c r="AF10" s="8" t="str">
        <f>IF(K10="",SUMPRODUCT(($K$5:$K$69="")*($H$5:$H$69&gt;H10))+SUMPRODUCT((K$5:K10="")*($H$5:H10=H10)),"")</f>
        <v/>
      </c>
      <c r="AG10" s="8">
        <f t="shared" si="8"/>
        <v>0</v>
      </c>
      <c r="AH10" s="8">
        <f t="shared" si="9"/>
        <v>0</v>
      </c>
    </row>
    <row r="11" spans="1:34" ht="15" customHeight="1" x14ac:dyDescent="0.25">
      <c r="A11" s="8" t="s">
        <v>143</v>
      </c>
      <c r="B11" s="8" t="s">
        <v>144</v>
      </c>
      <c r="C11" s="8" t="s">
        <v>126</v>
      </c>
      <c r="D11" s="8" t="s">
        <v>142</v>
      </c>
      <c r="E11" s="8" t="s">
        <v>128</v>
      </c>
      <c r="F11" s="16">
        <v>31797</v>
      </c>
      <c r="H11" s="13">
        <f t="shared" si="0"/>
        <v>31797</v>
      </c>
      <c r="I11" s="26"/>
      <c r="J11" s="26"/>
      <c r="K11" s="26"/>
      <c r="L11" s="8" t="s">
        <v>304</v>
      </c>
      <c r="M11" s="14">
        <f>Y11*Resumen!$C$6+AC11*Resumen!$C$7+AG11*Resumen!$C$9</f>
        <v>1</v>
      </c>
      <c r="N11" s="14">
        <f>Z11*Resumen!$C$6+AD11*Resumen!$C$7+AH11*Resumen!$C$9</f>
        <v>0.9</v>
      </c>
      <c r="O11" s="13">
        <f t="shared" si="1"/>
        <v>31797</v>
      </c>
      <c r="P11" s="13">
        <f t="shared" si="2"/>
        <v>28617.3</v>
      </c>
      <c r="Q11" s="27"/>
      <c r="R11" s="27"/>
      <c r="S11" s="27"/>
      <c r="T11" s="28"/>
      <c r="U11" s="13">
        <f>H11*((Q11="Oficial")*Resumen!$C$6+(R11="Oficial")*Resumen!$C$7+(S11="Oficial")*Resumen!$C$9)</f>
        <v>0</v>
      </c>
      <c r="V11" s="8" t="str">
        <f t="shared" si="3"/>
        <v>Sin evidencia municipal</v>
      </c>
      <c r="W11" s="8">
        <f>IF(I11="",SUMPRODUCT(($I$5:$I$69="")*($H$5:$H$69&lt;H11))+SUMPRODUCT((I$5:I11="")*($H$5:H11=H11)),"")</f>
        <v>20</v>
      </c>
      <c r="X11" s="8">
        <f>IF(I11="",SUMPRODUCT(($I$5:$I$69="")*($H$5:$H$69&gt;H11))+SUMPRODUCT((I$5:I11="")*($H$5:H11=H11)),"")</f>
        <v>29</v>
      </c>
      <c r="Y11" s="8">
        <f t="shared" si="4"/>
        <v>1</v>
      </c>
      <c r="Z11" s="8">
        <f t="shared" si="5"/>
        <v>1</v>
      </c>
      <c r="AA11" s="8">
        <f>IF(J11="",SUMPRODUCT(($J$5:$J$69="")*($H$5:$H$69&lt;H11))+SUMPRODUCT((J$5:J11="")*($H$5:H11=H11)),"")</f>
        <v>20</v>
      </c>
      <c r="AB11" s="8">
        <f>IF(J11="",SUMPRODUCT(($J$5:$J$69="")*($H$5:$H$69&gt;H11))+SUMPRODUCT((J$5:J11="")*($H$5:H11=H11)),"")</f>
        <v>29</v>
      </c>
      <c r="AC11" s="8">
        <f t="shared" si="6"/>
        <v>1</v>
      </c>
      <c r="AD11" s="8">
        <f t="shared" si="7"/>
        <v>1</v>
      </c>
      <c r="AE11" s="8">
        <f>IF(K11="",SUMPRODUCT(($K$5:$K$69="")*($H$5:$H$69&lt;H11))+SUMPRODUCT((K$5:K11="")*($H$5:H11=H11)),"")</f>
        <v>10</v>
      </c>
      <c r="AF11" s="8">
        <f>IF(K11="",SUMPRODUCT(($K$5:$K$69="")*($H$5:$H$69&gt;H11))+SUMPRODUCT((K$5:K11="")*($H$5:H11=H11)),"")</f>
        <v>30</v>
      </c>
      <c r="AG11" s="8">
        <f t="shared" si="8"/>
        <v>1</v>
      </c>
      <c r="AH11" s="8">
        <f t="shared" si="9"/>
        <v>0</v>
      </c>
    </row>
    <row r="12" spans="1:34" ht="15" customHeight="1" x14ac:dyDescent="0.25">
      <c r="A12" s="8" t="s">
        <v>145</v>
      </c>
      <c r="B12" s="8" t="s">
        <v>146</v>
      </c>
      <c r="C12" s="8" t="s">
        <v>126</v>
      </c>
      <c r="D12" s="8" t="s">
        <v>142</v>
      </c>
      <c r="E12" s="8" t="s">
        <v>128</v>
      </c>
      <c r="F12" s="16">
        <v>135439</v>
      </c>
      <c r="H12" s="13">
        <f t="shared" si="0"/>
        <v>135439</v>
      </c>
      <c r="I12" s="26"/>
      <c r="J12" s="26"/>
      <c r="K12" s="26"/>
      <c r="L12" s="8" t="s">
        <v>304</v>
      </c>
      <c r="M12" s="14">
        <f>Y12*Resumen!$C$6+AC12*Resumen!$C$7+AG12*Resumen!$C$9</f>
        <v>0</v>
      </c>
      <c r="N12" s="14">
        <f>Z12*Resumen!$C$6+AD12*Resumen!$C$7+AH12*Resumen!$C$9</f>
        <v>1</v>
      </c>
      <c r="O12" s="13">
        <f t="shared" si="1"/>
        <v>0</v>
      </c>
      <c r="P12" s="13">
        <f t="shared" si="2"/>
        <v>135439</v>
      </c>
      <c r="Q12" s="27"/>
      <c r="R12" s="27"/>
      <c r="S12" s="27"/>
      <c r="T12" s="28"/>
      <c r="U12" s="13">
        <f>H12*((Q12="Oficial")*Resumen!$C$6+(R12="Oficial")*Resumen!$C$7+(S12="Oficial")*Resumen!$C$9)</f>
        <v>0</v>
      </c>
      <c r="V12" s="8" t="str">
        <f t="shared" si="3"/>
        <v>Sin evidencia municipal</v>
      </c>
      <c r="W12" s="8">
        <f>IF(I12="",SUMPRODUCT(($I$5:$I$69="")*($H$5:$H$69&lt;H12))+SUMPRODUCT((I$5:I12="")*($H$5:H12=H12)),"")</f>
        <v>40</v>
      </c>
      <c r="X12" s="8">
        <f>IF(I12="",SUMPRODUCT(($I$5:$I$69="")*($H$5:$H$69&gt;H12))+SUMPRODUCT((I$5:I12="")*($H$5:H12=H12)),"")</f>
        <v>9</v>
      </c>
      <c r="Y12" s="8">
        <f t="shared" si="4"/>
        <v>0</v>
      </c>
      <c r="Z12" s="8">
        <f t="shared" si="5"/>
        <v>1</v>
      </c>
      <c r="AA12" s="8">
        <f>IF(J12="",SUMPRODUCT(($J$5:$J$69="")*($H$5:$H$69&lt;H12))+SUMPRODUCT((J$5:J12="")*($H$5:H12=H12)),"")</f>
        <v>40</v>
      </c>
      <c r="AB12" s="8">
        <f>IF(J12="",SUMPRODUCT(($J$5:$J$69="")*($H$5:$H$69&gt;H12))+SUMPRODUCT((J$5:J12="")*($H$5:H12=H12)),"")</f>
        <v>9</v>
      </c>
      <c r="AC12" s="8">
        <f t="shared" si="6"/>
        <v>0</v>
      </c>
      <c r="AD12" s="8">
        <f t="shared" si="7"/>
        <v>1</v>
      </c>
      <c r="AE12" s="8">
        <f>IF(K12="",SUMPRODUCT(($K$5:$K$69="")*($H$5:$H$69&lt;H12))+SUMPRODUCT((K$5:K12="")*($H$5:H12=H12)),"")</f>
        <v>31</v>
      </c>
      <c r="AF12" s="8">
        <f>IF(K12="",SUMPRODUCT(($K$5:$K$69="")*($H$5:$H$69&gt;H12))+SUMPRODUCT((K$5:K12="")*($H$5:H12=H12)),"")</f>
        <v>9</v>
      </c>
      <c r="AG12" s="8">
        <f t="shared" si="8"/>
        <v>0</v>
      </c>
      <c r="AH12" s="8">
        <f t="shared" si="9"/>
        <v>1</v>
      </c>
    </row>
    <row r="13" spans="1:34" ht="15" customHeight="1" x14ac:dyDescent="0.25">
      <c r="A13" s="8" t="s">
        <v>147</v>
      </c>
      <c r="B13" s="8" t="s">
        <v>148</v>
      </c>
      <c r="C13" s="8" t="s">
        <v>149</v>
      </c>
      <c r="D13" s="8" t="s">
        <v>150</v>
      </c>
      <c r="E13" s="8" t="s">
        <v>128</v>
      </c>
      <c r="F13" s="16">
        <v>26573</v>
      </c>
      <c r="H13" s="13">
        <f t="shared" si="0"/>
        <v>26573</v>
      </c>
      <c r="I13" s="26"/>
      <c r="J13" s="26"/>
      <c r="K13" s="21">
        <v>0</v>
      </c>
      <c r="L13" s="8" t="s">
        <v>301</v>
      </c>
      <c r="M13" s="14">
        <f>Y13*Resumen!$C$6+AC13*Resumen!$C$7+AG13*Resumen!$C$9</f>
        <v>0.9</v>
      </c>
      <c r="N13" s="14">
        <f>Z13*Resumen!$C$6+AD13*Resumen!$C$7+AH13*Resumen!$C$9</f>
        <v>0.45</v>
      </c>
      <c r="O13" s="13">
        <f t="shared" si="1"/>
        <v>23915.7</v>
      </c>
      <c r="P13" s="13">
        <f t="shared" si="2"/>
        <v>11957.85</v>
      </c>
      <c r="Q13" s="27"/>
      <c r="R13" s="27"/>
      <c r="S13" s="27"/>
      <c r="T13" s="28"/>
      <c r="U13" s="13">
        <f>H13*((Q13="Oficial")*Resumen!$C$6+(R13="Oficial")*Resumen!$C$7+(S13="Oficial")*Resumen!$C$9)</f>
        <v>0</v>
      </c>
      <c r="V13" s="8" t="str">
        <f t="shared" si="3"/>
        <v>Sin evidencia municipal</v>
      </c>
      <c r="W13" s="8">
        <f>IF(I13="",SUMPRODUCT(($I$5:$I$69="")*($H$5:$H$69&lt;H13))+SUMPRODUCT((I$5:I13="")*($H$5:H13=H13)),"")</f>
        <v>15</v>
      </c>
      <c r="X13" s="8">
        <f>IF(I13="",SUMPRODUCT(($I$5:$I$69="")*($H$5:$H$69&gt;H13))+SUMPRODUCT((I$5:I13="")*($H$5:H13=H13)),"")</f>
        <v>34</v>
      </c>
      <c r="Y13" s="8">
        <f t="shared" si="4"/>
        <v>1</v>
      </c>
      <c r="Z13" s="8">
        <f t="shared" si="5"/>
        <v>1</v>
      </c>
      <c r="AA13" s="8">
        <f>IF(J13="",SUMPRODUCT(($J$5:$J$69="")*($H$5:$H$69&lt;H13))+SUMPRODUCT((J$5:J13="")*($H$5:H13=H13)),"")</f>
        <v>15</v>
      </c>
      <c r="AB13" s="8">
        <f>IF(J13="",SUMPRODUCT(($J$5:$J$69="")*($H$5:$H$69&gt;H13))+SUMPRODUCT((J$5:J13="")*($H$5:H13=H13)),"")</f>
        <v>34</v>
      </c>
      <c r="AC13" s="8">
        <f t="shared" si="6"/>
        <v>1</v>
      </c>
      <c r="AD13" s="8">
        <f t="shared" si="7"/>
        <v>0</v>
      </c>
      <c r="AE13" s="8" t="str">
        <f>IF(K13="",SUMPRODUCT(($K$5:$K$69="")*($H$5:$H$69&lt;H13))+SUMPRODUCT((K$5:K13="")*($H$5:H13=H13)),"")</f>
        <v/>
      </c>
      <c r="AF13" s="8" t="str">
        <f>IF(K13="",SUMPRODUCT(($K$5:$K$69="")*($H$5:$H$69&gt;H13))+SUMPRODUCT((K$5:K13="")*($H$5:H13=H13)),"")</f>
        <v/>
      </c>
      <c r="AG13" s="8">
        <f t="shared" si="8"/>
        <v>0</v>
      </c>
      <c r="AH13" s="8">
        <f t="shared" si="9"/>
        <v>0</v>
      </c>
    </row>
    <row r="14" spans="1:34" ht="15" customHeight="1" x14ac:dyDescent="0.25">
      <c r="A14" s="8" t="s">
        <v>151</v>
      </c>
      <c r="B14" s="8" t="s">
        <v>152</v>
      </c>
      <c r="C14" s="8" t="s">
        <v>149</v>
      </c>
      <c r="D14" s="8" t="s">
        <v>150</v>
      </c>
      <c r="E14" s="8" t="s">
        <v>128</v>
      </c>
      <c r="F14" s="16">
        <v>17256</v>
      </c>
      <c r="H14" s="13">
        <f t="shared" si="0"/>
        <v>17256</v>
      </c>
      <c r="I14" s="26"/>
      <c r="J14" s="26"/>
      <c r="K14" s="21">
        <v>0</v>
      </c>
      <c r="L14" s="8" t="s">
        <v>301</v>
      </c>
      <c r="M14" s="14">
        <f>Y14*Resumen!$C$6+AC14*Resumen!$C$7+AG14*Resumen!$C$9</f>
        <v>0.9</v>
      </c>
      <c r="N14" s="14">
        <f>Z14*Resumen!$C$6+AD14*Resumen!$C$7+AH14*Resumen!$C$9</f>
        <v>0</v>
      </c>
      <c r="O14" s="13">
        <f t="shared" si="1"/>
        <v>15530.4</v>
      </c>
      <c r="P14" s="13">
        <f t="shared" si="2"/>
        <v>0</v>
      </c>
      <c r="Q14" s="27"/>
      <c r="R14" s="27"/>
      <c r="S14" s="27"/>
      <c r="T14" s="28"/>
      <c r="U14" s="13">
        <f>H14*((Q14="Oficial")*Resumen!$C$6+(R14="Oficial")*Resumen!$C$7+(S14="Oficial")*Resumen!$C$9)</f>
        <v>0</v>
      </c>
      <c r="V14" s="8" t="str">
        <f t="shared" si="3"/>
        <v>Sin evidencia municipal</v>
      </c>
      <c r="W14" s="8">
        <f>IF(I14="",SUMPRODUCT(($I$5:$I$69="")*($H$5:$H$69&lt;H14))+SUMPRODUCT((I$5:I14="")*($H$5:H14=H14)),"")</f>
        <v>6</v>
      </c>
      <c r="X14" s="8">
        <f>IF(I14="",SUMPRODUCT(($I$5:$I$69="")*($H$5:$H$69&gt;H14))+SUMPRODUCT((I$5:I14="")*($H$5:H14=H14)),"")</f>
        <v>43</v>
      </c>
      <c r="Y14" s="8">
        <f t="shared" si="4"/>
        <v>1</v>
      </c>
      <c r="Z14" s="8">
        <f t="shared" si="5"/>
        <v>0</v>
      </c>
      <c r="AA14" s="8">
        <f>IF(J14="",SUMPRODUCT(($J$5:$J$69="")*($H$5:$H$69&lt;H14))+SUMPRODUCT((J$5:J14="")*($H$5:H14=H14)),"")</f>
        <v>6</v>
      </c>
      <c r="AB14" s="8">
        <f>IF(J14="",SUMPRODUCT(($J$5:$J$69="")*($H$5:$H$69&gt;H14))+SUMPRODUCT((J$5:J14="")*($H$5:H14=H14)),"")</f>
        <v>43</v>
      </c>
      <c r="AC14" s="8">
        <f t="shared" si="6"/>
        <v>1</v>
      </c>
      <c r="AD14" s="8">
        <f t="shared" si="7"/>
        <v>0</v>
      </c>
      <c r="AE14" s="8" t="str">
        <f>IF(K14="",SUMPRODUCT(($K$5:$K$69="")*($H$5:$H$69&lt;H14))+SUMPRODUCT((K$5:K14="")*($H$5:H14=H14)),"")</f>
        <v/>
      </c>
      <c r="AF14" s="8" t="str">
        <f>IF(K14="",SUMPRODUCT(($K$5:$K$69="")*($H$5:$H$69&gt;H14))+SUMPRODUCT((K$5:K14="")*($H$5:H14=H14)),"")</f>
        <v/>
      </c>
      <c r="AG14" s="8">
        <f t="shared" si="8"/>
        <v>0</v>
      </c>
      <c r="AH14" s="8">
        <f t="shared" si="9"/>
        <v>0</v>
      </c>
    </row>
    <row r="15" spans="1:34" ht="23.85" customHeight="1" x14ac:dyDescent="0.25">
      <c r="A15" s="8" t="s">
        <v>153</v>
      </c>
      <c r="B15" s="8" t="s">
        <v>154</v>
      </c>
      <c r="C15" s="8" t="s">
        <v>149</v>
      </c>
      <c r="D15" s="8" t="s">
        <v>150</v>
      </c>
      <c r="E15" s="8" t="s">
        <v>128</v>
      </c>
      <c r="F15" s="16">
        <v>53607</v>
      </c>
      <c r="G15" s="16">
        <v>53606.96</v>
      </c>
      <c r="H15" s="13">
        <f t="shared" si="0"/>
        <v>53606.96</v>
      </c>
      <c r="I15" s="21">
        <v>1</v>
      </c>
      <c r="J15" s="21">
        <v>1</v>
      </c>
      <c r="K15" s="21">
        <v>1</v>
      </c>
      <c r="L15" s="8" t="s">
        <v>298</v>
      </c>
      <c r="M15" s="14">
        <f>Y15*Resumen!$C$6+AC15*Resumen!$C$7+AG15*Resumen!$C$9</f>
        <v>1</v>
      </c>
      <c r="N15" s="14">
        <f>Z15*Resumen!$C$6+AD15*Resumen!$C$7+AH15*Resumen!$C$9</f>
        <v>1</v>
      </c>
      <c r="O15" s="13">
        <f t="shared" si="1"/>
        <v>53606.96</v>
      </c>
      <c r="P15" s="13">
        <f t="shared" si="2"/>
        <v>53606.96</v>
      </c>
      <c r="Q15" s="21" t="s">
        <v>299</v>
      </c>
      <c r="R15" s="21" t="s">
        <v>299</v>
      </c>
      <c r="S15" s="21" t="s">
        <v>299</v>
      </c>
      <c r="T15" s="8" t="s">
        <v>302</v>
      </c>
      <c r="U15" s="13">
        <f>H15*((Q15="Oficial")*Resumen!$C$6+(R15="Oficial")*Resumen!$C$7+(S15="Oficial")*Resumen!$C$9)</f>
        <v>0</v>
      </c>
      <c r="V15" s="8" t="str">
        <f t="shared" si="3"/>
        <v>Con entregas verificadas</v>
      </c>
      <c r="W15" s="8" t="str">
        <f>IF(I15="",SUMPRODUCT(($I$5:$I$69="")*($H$5:$H$69&lt;H15))+SUMPRODUCT((I$5:I15="")*($H$5:H15=H15)),"")</f>
        <v/>
      </c>
      <c r="X15" s="8" t="str">
        <f>IF(I15="",SUMPRODUCT(($I$5:$I$69="")*($H$5:$H$69&gt;H15))+SUMPRODUCT((I$5:I15="")*($H$5:H15=H15)),"")</f>
        <v/>
      </c>
      <c r="Y15" s="8">
        <f t="shared" si="4"/>
        <v>1</v>
      </c>
      <c r="Z15" s="8">
        <f t="shared" si="5"/>
        <v>1</v>
      </c>
      <c r="AA15" s="8" t="str">
        <f>IF(J15="",SUMPRODUCT(($J$5:$J$69="")*($H$5:$H$69&lt;H15))+SUMPRODUCT((J$5:J15="")*($H$5:H15=H15)),"")</f>
        <v/>
      </c>
      <c r="AB15" s="8" t="str">
        <f>IF(J15="",SUMPRODUCT(($J$5:$J$69="")*($H$5:$H$69&gt;H15))+SUMPRODUCT((J$5:J15="")*($H$5:H15=H15)),"")</f>
        <v/>
      </c>
      <c r="AC15" s="8">
        <f t="shared" si="6"/>
        <v>1</v>
      </c>
      <c r="AD15" s="8">
        <f t="shared" si="7"/>
        <v>1</v>
      </c>
      <c r="AE15" s="8" t="str">
        <f>IF(K15="",SUMPRODUCT(($K$5:$K$69="")*($H$5:$H$69&lt;H15))+SUMPRODUCT((K$5:K15="")*($H$5:H15=H15)),"")</f>
        <v/>
      </c>
      <c r="AF15" s="8" t="str">
        <f>IF(K15="",SUMPRODUCT(($K$5:$K$69="")*($H$5:$H$69&gt;H15))+SUMPRODUCT((K$5:K15="")*($H$5:H15=H15)),"")</f>
        <v/>
      </c>
      <c r="AG15" s="8">
        <f t="shared" si="8"/>
        <v>1</v>
      </c>
      <c r="AH15" s="8">
        <f t="shared" si="9"/>
        <v>1</v>
      </c>
    </row>
    <row r="16" spans="1:34" ht="15" customHeight="1" x14ac:dyDescent="0.25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128</v>
      </c>
      <c r="F16" s="16">
        <v>94340</v>
      </c>
      <c r="H16" s="13">
        <f t="shared" si="0"/>
        <v>94340</v>
      </c>
      <c r="I16" s="26"/>
      <c r="J16" s="26"/>
      <c r="K16" s="21">
        <v>0</v>
      </c>
      <c r="L16" s="8" t="s">
        <v>301</v>
      </c>
      <c r="M16" s="14">
        <f>Y16*Resumen!$C$6+AC16*Resumen!$C$7+AG16*Resumen!$C$9</f>
        <v>0</v>
      </c>
      <c r="N16" s="14">
        <f>Z16*Resumen!$C$6+AD16*Resumen!$C$7+AH16*Resumen!$C$9</f>
        <v>0.9</v>
      </c>
      <c r="O16" s="13">
        <f t="shared" si="1"/>
        <v>0</v>
      </c>
      <c r="P16" s="13">
        <f t="shared" si="2"/>
        <v>84906</v>
      </c>
      <c r="Q16" s="27"/>
      <c r="R16" s="27"/>
      <c r="S16" s="27"/>
      <c r="T16" s="28"/>
      <c r="U16" s="13">
        <f>H16*((Q16="Oficial")*Resumen!$C$6+(R16="Oficial")*Resumen!$C$7+(S16="Oficial")*Resumen!$C$9)</f>
        <v>0</v>
      </c>
      <c r="V16" s="8" t="str">
        <f t="shared" si="3"/>
        <v>Sin evidencia municipal</v>
      </c>
      <c r="W16" s="8">
        <f>IF(I16="",SUMPRODUCT(($I$5:$I$69="")*($H$5:$H$69&lt;H16))+SUMPRODUCT((I$5:I16="")*($H$5:H16=H16)),"")</f>
        <v>36</v>
      </c>
      <c r="X16" s="8">
        <f>IF(I16="",SUMPRODUCT(($I$5:$I$69="")*($H$5:$H$69&gt;H16))+SUMPRODUCT((I$5:I16="")*($H$5:H16=H16)),"")</f>
        <v>13</v>
      </c>
      <c r="Y16" s="8">
        <f t="shared" si="4"/>
        <v>0</v>
      </c>
      <c r="Z16" s="8">
        <f t="shared" si="5"/>
        <v>1</v>
      </c>
      <c r="AA16" s="8">
        <f>IF(J16="",SUMPRODUCT(($J$5:$J$69="")*($H$5:$H$69&lt;H16))+SUMPRODUCT((J$5:J16="")*($H$5:H16=H16)),"")</f>
        <v>36</v>
      </c>
      <c r="AB16" s="8">
        <f>IF(J16="",SUMPRODUCT(($J$5:$J$69="")*($H$5:$H$69&gt;H16))+SUMPRODUCT((J$5:J16="")*($H$5:H16=H16)),"")</f>
        <v>13</v>
      </c>
      <c r="AC16" s="8">
        <f t="shared" si="6"/>
        <v>0</v>
      </c>
      <c r="AD16" s="8">
        <f t="shared" si="7"/>
        <v>1</v>
      </c>
      <c r="AE16" s="8" t="str">
        <f>IF(K16="",SUMPRODUCT(($K$5:$K$69="")*($H$5:$H$69&lt;H16))+SUMPRODUCT((K$5:K16="")*($H$5:H16=H16)),"")</f>
        <v/>
      </c>
      <c r="AF16" s="8" t="str">
        <f>IF(K16="",SUMPRODUCT(($K$5:$K$69="")*($H$5:$H$69&gt;H16))+SUMPRODUCT((K$5:K16="")*($H$5:H16=H16)),"")</f>
        <v/>
      </c>
      <c r="AG16" s="8">
        <f t="shared" si="8"/>
        <v>0</v>
      </c>
      <c r="AH16" s="8">
        <f t="shared" si="9"/>
        <v>0</v>
      </c>
    </row>
    <row r="17" spans="1:34" ht="15" customHeight="1" x14ac:dyDescent="0.25">
      <c r="A17" s="8" t="s">
        <v>159</v>
      </c>
      <c r="B17" s="8" t="s">
        <v>160</v>
      </c>
      <c r="C17" s="8" t="s">
        <v>126</v>
      </c>
      <c r="D17" s="8" t="s">
        <v>161</v>
      </c>
      <c r="E17" s="8" t="s">
        <v>128</v>
      </c>
      <c r="F17" s="16">
        <v>50695</v>
      </c>
      <c r="G17" s="16">
        <v>50695.28</v>
      </c>
      <c r="H17" s="13">
        <f t="shared" si="0"/>
        <v>50695.28</v>
      </c>
      <c r="I17" s="26"/>
      <c r="J17" s="21">
        <v>1</v>
      </c>
      <c r="K17" s="26"/>
      <c r="L17" s="8" t="s">
        <v>305</v>
      </c>
      <c r="M17" s="14">
        <f>Y17*Resumen!$C$6+AC17*Resumen!$C$7+AG17*Resumen!$C$9</f>
        <v>0.9</v>
      </c>
      <c r="N17" s="14">
        <f>Z17*Resumen!$C$6+AD17*Resumen!$C$7+AH17*Resumen!$C$9</f>
        <v>0.9</v>
      </c>
      <c r="O17" s="13">
        <f t="shared" si="1"/>
        <v>45625.752</v>
      </c>
      <c r="P17" s="13">
        <f t="shared" si="2"/>
        <v>45625.752</v>
      </c>
      <c r="Q17" s="27"/>
      <c r="R17" s="27"/>
      <c r="S17" s="27"/>
      <c r="T17" s="28"/>
      <c r="U17" s="13">
        <f>H17*((Q17="Oficial")*Resumen!$C$6+(R17="Oficial")*Resumen!$C$7+(S17="Oficial")*Resumen!$C$9)</f>
        <v>0</v>
      </c>
      <c r="V17" s="8" t="str">
        <f t="shared" si="3"/>
        <v>Con entregas verificadas</v>
      </c>
      <c r="W17" s="8">
        <f>IF(I17="",SUMPRODUCT(($I$5:$I$69="")*($H$5:$H$69&lt;H17))+SUMPRODUCT((I$5:I17="")*($H$5:H17=H17)),"")</f>
        <v>29</v>
      </c>
      <c r="X17" s="8">
        <f>IF(I17="",SUMPRODUCT(($I$5:$I$69="")*($H$5:$H$69&gt;H17))+SUMPRODUCT((I$5:I17="")*($H$5:H17=H17)),"")</f>
        <v>20</v>
      </c>
      <c r="Y17" s="8">
        <f t="shared" si="4"/>
        <v>1</v>
      </c>
      <c r="Z17" s="8">
        <f t="shared" si="5"/>
        <v>1</v>
      </c>
      <c r="AA17" s="8" t="str">
        <f>IF(J17="",SUMPRODUCT(($J$5:$J$69="")*($H$5:$H$69&lt;H17))+SUMPRODUCT((J$5:J17="")*($H$5:H17=H17)),"")</f>
        <v/>
      </c>
      <c r="AB17" s="8" t="str">
        <f>IF(J17="",SUMPRODUCT(($J$5:$J$69="")*($H$5:$H$69&gt;H17))+SUMPRODUCT((J$5:J17="")*($H$5:H17=H17)),"")</f>
        <v/>
      </c>
      <c r="AC17" s="8">
        <f t="shared" si="6"/>
        <v>1</v>
      </c>
      <c r="AD17" s="8">
        <f t="shared" si="7"/>
        <v>1</v>
      </c>
      <c r="AE17" s="8">
        <f>IF(K17="",SUMPRODUCT(($K$5:$K$69="")*($H$5:$H$69&lt;H17))+SUMPRODUCT((K$5:K17="")*($H$5:H17=H17)),"")</f>
        <v>20</v>
      </c>
      <c r="AF17" s="8">
        <f>IF(K17="",SUMPRODUCT(($K$5:$K$69="")*($H$5:$H$69&gt;H17))+SUMPRODUCT((K$5:K17="")*($H$5:H17=H17)),"")</f>
        <v>20</v>
      </c>
      <c r="AG17" s="8">
        <f t="shared" si="8"/>
        <v>0</v>
      </c>
      <c r="AH17" s="8">
        <f t="shared" si="9"/>
        <v>0</v>
      </c>
    </row>
    <row r="18" spans="1:34" ht="15" customHeight="1" x14ac:dyDescent="0.25">
      <c r="A18" s="8" t="s">
        <v>162</v>
      </c>
      <c r="B18" s="8" t="s">
        <v>163</v>
      </c>
      <c r="C18" s="8" t="s">
        <v>149</v>
      </c>
      <c r="D18" s="8" t="s">
        <v>161</v>
      </c>
      <c r="E18" s="8" t="s">
        <v>128</v>
      </c>
      <c r="F18" s="16">
        <v>29715</v>
      </c>
      <c r="H18" s="13">
        <f t="shared" si="0"/>
        <v>29715</v>
      </c>
      <c r="I18" s="26"/>
      <c r="J18" s="26"/>
      <c r="K18" s="26"/>
      <c r="L18" s="8" t="s">
        <v>304</v>
      </c>
      <c r="M18" s="14">
        <f>Y18*Resumen!$C$6+AC18*Resumen!$C$7+AG18*Resumen!$C$9</f>
        <v>1</v>
      </c>
      <c r="N18" s="14">
        <f>Z18*Resumen!$C$6+AD18*Resumen!$C$7+AH18*Resumen!$C$9</f>
        <v>0.9</v>
      </c>
      <c r="O18" s="13">
        <f t="shared" si="1"/>
        <v>29715</v>
      </c>
      <c r="P18" s="13">
        <f t="shared" si="2"/>
        <v>26743.5</v>
      </c>
      <c r="Q18" s="27"/>
      <c r="R18" s="27"/>
      <c r="S18" s="27"/>
      <c r="T18" s="28"/>
      <c r="U18" s="13">
        <f>H18*((Q18="Oficial")*Resumen!$C$6+(R18="Oficial")*Resumen!$C$7+(S18="Oficial")*Resumen!$C$9)</f>
        <v>0</v>
      </c>
      <c r="V18" s="8" t="str">
        <f t="shared" si="3"/>
        <v>Sin evidencia municipal</v>
      </c>
      <c r="W18" s="8">
        <f>IF(I18="",SUMPRODUCT(($I$5:$I$69="")*($H$5:$H$69&lt;H18))+SUMPRODUCT((I$5:I18="")*($H$5:H18=H18)),"")</f>
        <v>18</v>
      </c>
      <c r="X18" s="8">
        <f>IF(I18="",SUMPRODUCT(($I$5:$I$69="")*($H$5:$H$69&gt;H18))+SUMPRODUCT((I$5:I18="")*($H$5:H18=H18)),"")</f>
        <v>31</v>
      </c>
      <c r="Y18" s="8">
        <f t="shared" si="4"/>
        <v>1</v>
      </c>
      <c r="Z18" s="8">
        <f t="shared" si="5"/>
        <v>1</v>
      </c>
      <c r="AA18" s="8">
        <f>IF(J18="",SUMPRODUCT(($J$5:$J$69="")*($H$5:$H$69&lt;H18))+SUMPRODUCT((J$5:J18="")*($H$5:H18=H18)),"")</f>
        <v>18</v>
      </c>
      <c r="AB18" s="8">
        <f>IF(J18="",SUMPRODUCT(($J$5:$J$69="")*($H$5:$H$69&gt;H18))+SUMPRODUCT((J$5:J18="")*($H$5:H18=H18)),"")</f>
        <v>31</v>
      </c>
      <c r="AC18" s="8">
        <f t="shared" si="6"/>
        <v>1</v>
      </c>
      <c r="AD18" s="8">
        <f t="shared" si="7"/>
        <v>1</v>
      </c>
      <c r="AE18" s="8">
        <f>IF(K18="",SUMPRODUCT(($K$5:$K$69="")*($H$5:$H$69&lt;H18))+SUMPRODUCT((K$5:K18="")*($H$5:H18=H18)),"")</f>
        <v>9</v>
      </c>
      <c r="AF18" s="8">
        <f>IF(K18="",SUMPRODUCT(($K$5:$K$69="")*($H$5:$H$69&gt;H18))+SUMPRODUCT((K$5:K18="")*($H$5:H18=H18)),"")</f>
        <v>31</v>
      </c>
      <c r="AG18" s="8">
        <f t="shared" si="8"/>
        <v>1</v>
      </c>
      <c r="AH18" s="8">
        <f t="shared" si="9"/>
        <v>0</v>
      </c>
    </row>
    <row r="19" spans="1:34" ht="23.85" customHeight="1" x14ac:dyDescent="0.25">
      <c r="A19" s="8" t="s">
        <v>164</v>
      </c>
      <c r="B19" s="8" t="s">
        <v>1</v>
      </c>
      <c r="C19" s="8" t="s">
        <v>157</v>
      </c>
      <c r="D19" s="8" t="s">
        <v>161</v>
      </c>
      <c r="E19" s="8" t="s">
        <v>128</v>
      </c>
      <c r="F19" s="16">
        <v>120835</v>
      </c>
      <c r="G19" s="16">
        <v>120834.62</v>
      </c>
      <c r="H19" s="13">
        <f t="shared" si="0"/>
        <v>120834.62</v>
      </c>
      <c r="I19" s="21">
        <v>1</v>
      </c>
      <c r="J19" s="21">
        <v>1</v>
      </c>
      <c r="K19" s="21">
        <v>1</v>
      </c>
      <c r="L19" s="8" t="s">
        <v>306</v>
      </c>
      <c r="M19" s="14">
        <f>Y19*Resumen!$C$6+AC19*Resumen!$C$7+AG19*Resumen!$C$9</f>
        <v>1</v>
      </c>
      <c r="N19" s="14">
        <f>Z19*Resumen!$C$6+AD19*Resumen!$C$7+AH19*Resumen!$C$9</f>
        <v>1</v>
      </c>
      <c r="O19" s="13">
        <f t="shared" si="1"/>
        <v>120834.62</v>
      </c>
      <c r="P19" s="13">
        <f t="shared" si="2"/>
        <v>120834.62</v>
      </c>
      <c r="Q19" s="21" t="s">
        <v>299</v>
      </c>
      <c r="R19" s="21" t="s">
        <v>299</v>
      </c>
      <c r="S19" s="21" t="s">
        <v>299</v>
      </c>
      <c r="T19" s="8" t="s">
        <v>302</v>
      </c>
      <c r="U19" s="13">
        <f>H19*((Q19="Oficial")*Resumen!$C$6+(R19="Oficial")*Resumen!$C$7+(S19="Oficial")*Resumen!$C$9)</f>
        <v>0</v>
      </c>
      <c r="V19" s="8" t="str">
        <f t="shared" si="3"/>
        <v>Con entregas verificadas</v>
      </c>
      <c r="W19" s="8" t="str">
        <f>IF(I19="",SUMPRODUCT(($I$5:$I$69="")*($H$5:$H$69&lt;H19))+SUMPRODUCT((I$5:I19="")*($H$5:H19=H19)),"")</f>
        <v/>
      </c>
      <c r="X19" s="8" t="str">
        <f>IF(I19="",SUMPRODUCT(($I$5:$I$69="")*($H$5:$H$69&gt;H19))+SUMPRODUCT((I$5:I19="")*($H$5:H19=H19)),"")</f>
        <v/>
      </c>
      <c r="Y19" s="8">
        <f t="shared" si="4"/>
        <v>1</v>
      </c>
      <c r="Z19" s="8">
        <f t="shared" si="5"/>
        <v>1</v>
      </c>
      <c r="AA19" s="8" t="str">
        <f>IF(J19="",SUMPRODUCT(($J$5:$J$69="")*($H$5:$H$69&lt;H19))+SUMPRODUCT((J$5:J19="")*($H$5:H19=H19)),"")</f>
        <v/>
      </c>
      <c r="AB19" s="8" t="str">
        <f>IF(J19="",SUMPRODUCT(($J$5:$J$69="")*($H$5:$H$69&gt;H19))+SUMPRODUCT((J$5:J19="")*($H$5:H19=H19)),"")</f>
        <v/>
      </c>
      <c r="AC19" s="8">
        <f t="shared" si="6"/>
        <v>1</v>
      </c>
      <c r="AD19" s="8">
        <f t="shared" si="7"/>
        <v>1</v>
      </c>
      <c r="AE19" s="8" t="str">
        <f>IF(K19="",SUMPRODUCT(($K$5:$K$69="")*($H$5:$H$69&lt;H19))+SUMPRODUCT((K$5:K19="")*($H$5:H19=H19)),"")</f>
        <v/>
      </c>
      <c r="AF19" s="8" t="str">
        <f>IF(K19="",SUMPRODUCT(($K$5:$K$69="")*($H$5:$H$69&gt;H19))+SUMPRODUCT((K$5:K19="")*($H$5:H19=H19)),"")</f>
        <v/>
      </c>
      <c r="AG19" s="8">
        <f t="shared" si="8"/>
        <v>1</v>
      </c>
      <c r="AH19" s="8">
        <f t="shared" si="9"/>
        <v>1</v>
      </c>
    </row>
    <row r="20" spans="1:34" ht="23.85" customHeight="1" x14ac:dyDescent="0.25">
      <c r="A20" s="8" t="s">
        <v>165</v>
      </c>
      <c r="B20" s="8" t="s">
        <v>166</v>
      </c>
      <c r="C20" s="8" t="s">
        <v>149</v>
      </c>
      <c r="D20" s="8" t="s">
        <v>161</v>
      </c>
      <c r="E20" s="8" t="s">
        <v>128</v>
      </c>
      <c r="F20" s="16">
        <v>11050</v>
      </c>
      <c r="G20" s="16">
        <v>11050.26</v>
      </c>
      <c r="H20" s="13">
        <f t="shared" si="0"/>
        <v>11050.26</v>
      </c>
      <c r="I20" s="21">
        <v>1</v>
      </c>
      <c r="J20" s="21">
        <v>1</v>
      </c>
      <c r="K20" s="21">
        <v>1</v>
      </c>
      <c r="L20" s="8" t="s">
        <v>307</v>
      </c>
      <c r="M20" s="14">
        <f>Y20*Resumen!$C$6+AC20*Resumen!$C$7+AG20*Resumen!$C$9</f>
        <v>1</v>
      </c>
      <c r="N20" s="14">
        <f>Z20*Resumen!$C$6+AD20*Resumen!$C$7+AH20*Resumen!$C$9</f>
        <v>1</v>
      </c>
      <c r="O20" s="13">
        <f t="shared" si="1"/>
        <v>11050.26</v>
      </c>
      <c r="P20" s="13">
        <f t="shared" si="2"/>
        <v>11050.26</v>
      </c>
      <c r="Q20" s="21" t="s">
        <v>299</v>
      </c>
      <c r="R20" s="21" t="s">
        <v>299</v>
      </c>
      <c r="S20" s="21" t="s">
        <v>299</v>
      </c>
      <c r="T20" s="8" t="s">
        <v>308</v>
      </c>
      <c r="U20" s="13">
        <f>H20*((Q20="Oficial")*Resumen!$C$6+(R20="Oficial")*Resumen!$C$7+(S20="Oficial")*Resumen!$C$9)</f>
        <v>0</v>
      </c>
      <c r="V20" s="8" t="str">
        <f t="shared" si="3"/>
        <v>Con entregas verificadas</v>
      </c>
      <c r="W20" s="8" t="str">
        <f>IF(I20="",SUMPRODUCT(($I$5:$I$69="")*($H$5:$H$69&lt;H20))+SUMPRODUCT((I$5:I20="")*($H$5:H20=H20)),"")</f>
        <v/>
      </c>
      <c r="X20" s="8" t="str">
        <f>IF(I20="",SUMPRODUCT(($I$5:$I$69="")*($H$5:$H$69&gt;H20))+SUMPRODUCT((I$5:I20="")*($H$5:H20=H20)),"")</f>
        <v/>
      </c>
      <c r="Y20" s="8">
        <f t="shared" si="4"/>
        <v>1</v>
      </c>
      <c r="Z20" s="8">
        <f t="shared" si="5"/>
        <v>1</v>
      </c>
      <c r="AA20" s="8" t="str">
        <f>IF(J20="",SUMPRODUCT(($J$5:$J$69="")*($H$5:$H$69&lt;H20))+SUMPRODUCT((J$5:J20="")*($H$5:H20=H20)),"")</f>
        <v/>
      </c>
      <c r="AB20" s="8" t="str">
        <f>IF(J20="",SUMPRODUCT(($J$5:$J$69="")*($H$5:$H$69&gt;H20))+SUMPRODUCT((J$5:J20="")*($H$5:H20=H20)),"")</f>
        <v/>
      </c>
      <c r="AC20" s="8">
        <f t="shared" si="6"/>
        <v>1</v>
      </c>
      <c r="AD20" s="8">
        <f t="shared" si="7"/>
        <v>1</v>
      </c>
      <c r="AE20" s="8" t="str">
        <f>IF(K20="",SUMPRODUCT(($K$5:$K$69="")*($H$5:$H$69&lt;H20))+SUMPRODUCT((K$5:K20="")*($H$5:H20=H20)),"")</f>
        <v/>
      </c>
      <c r="AF20" s="8" t="str">
        <f>IF(K20="",SUMPRODUCT(($K$5:$K$69="")*($H$5:$H$69&gt;H20))+SUMPRODUCT((K$5:K20="")*($H$5:H20=H20)),"")</f>
        <v/>
      </c>
      <c r="AG20" s="8">
        <f t="shared" si="8"/>
        <v>1</v>
      </c>
      <c r="AH20" s="8">
        <f t="shared" si="9"/>
        <v>1</v>
      </c>
    </row>
    <row r="21" spans="1:34" ht="15" customHeight="1" x14ac:dyDescent="0.25">
      <c r="A21" s="8" t="s">
        <v>167</v>
      </c>
      <c r="B21" s="8" t="s">
        <v>168</v>
      </c>
      <c r="C21" s="8" t="s">
        <v>138</v>
      </c>
      <c r="D21" s="8" t="s">
        <v>161</v>
      </c>
      <c r="E21" s="8" t="s">
        <v>128</v>
      </c>
      <c r="F21" s="16">
        <v>30466</v>
      </c>
      <c r="H21" s="13">
        <f t="shared" si="0"/>
        <v>30466</v>
      </c>
      <c r="I21" s="26"/>
      <c r="J21" s="26"/>
      <c r="K21" s="21">
        <v>0</v>
      </c>
      <c r="L21" s="8" t="s">
        <v>301</v>
      </c>
      <c r="M21" s="14">
        <f>Y21*Resumen!$C$6+AC21*Resumen!$C$7+AG21*Resumen!$C$9</f>
        <v>0.9</v>
      </c>
      <c r="N21" s="14">
        <f>Z21*Resumen!$C$6+AD21*Resumen!$C$7+AH21*Resumen!$C$9</f>
        <v>0.9</v>
      </c>
      <c r="O21" s="13">
        <f t="shared" si="1"/>
        <v>27419.4</v>
      </c>
      <c r="P21" s="13">
        <f t="shared" si="2"/>
        <v>27419.4</v>
      </c>
      <c r="Q21" s="27"/>
      <c r="R21" s="27"/>
      <c r="S21" s="27"/>
      <c r="T21" s="28"/>
      <c r="U21" s="13">
        <f>H21*((Q21="Oficial")*Resumen!$C$6+(R21="Oficial")*Resumen!$C$7+(S21="Oficial")*Resumen!$C$9)</f>
        <v>0</v>
      </c>
      <c r="V21" s="8" t="str">
        <f t="shared" si="3"/>
        <v>Sin evidencia municipal</v>
      </c>
      <c r="W21" s="8">
        <f>IF(I21="",SUMPRODUCT(($I$5:$I$69="")*($H$5:$H$69&lt;H21))+SUMPRODUCT((I$5:I21="")*($H$5:H21=H21)),"")</f>
        <v>19</v>
      </c>
      <c r="X21" s="8">
        <f>IF(I21="",SUMPRODUCT(($I$5:$I$69="")*($H$5:$H$69&gt;H21))+SUMPRODUCT((I$5:I21="")*($H$5:H21=H21)),"")</f>
        <v>30</v>
      </c>
      <c r="Y21" s="8">
        <f t="shared" si="4"/>
        <v>1</v>
      </c>
      <c r="Z21" s="8">
        <f t="shared" si="5"/>
        <v>1</v>
      </c>
      <c r="AA21" s="8">
        <f>IF(J21="",SUMPRODUCT(($J$5:$J$69="")*($H$5:$H$69&lt;H21))+SUMPRODUCT((J$5:J21="")*($H$5:H21=H21)),"")</f>
        <v>19</v>
      </c>
      <c r="AB21" s="8">
        <f>IF(J21="",SUMPRODUCT(($J$5:$J$69="")*($H$5:$H$69&gt;H21))+SUMPRODUCT((J$5:J21="")*($H$5:H21=H21)),"")</f>
        <v>30</v>
      </c>
      <c r="AC21" s="8">
        <f t="shared" si="6"/>
        <v>1</v>
      </c>
      <c r="AD21" s="8">
        <f t="shared" si="7"/>
        <v>1</v>
      </c>
      <c r="AE21" s="8" t="str">
        <f>IF(K21="",SUMPRODUCT(($K$5:$K$69="")*($H$5:$H$69&lt;H21))+SUMPRODUCT((K$5:K21="")*($H$5:H21=H21)),"")</f>
        <v/>
      </c>
      <c r="AF21" s="8" t="str">
        <f>IF(K21="",SUMPRODUCT(($K$5:$K$69="")*($H$5:$H$69&gt;H21))+SUMPRODUCT((K$5:K21="")*($H$5:H21=H21)),"")</f>
        <v/>
      </c>
      <c r="AG21" s="8">
        <f t="shared" si="8"/>
        <v>0</v>
      </c>
      <c r="AH21" s="8">
        <f t="shared" si="9"/>
        <v>0</v>
      </c>
    </row>
    <row r="22" spans="1:34" ht="15" customHeight="1" x14ac:dyDescent="0.25">
      <c r="A22" s="8" t="s">
        <v>169</v>
      </c>
      <c r="B22" s="8" t="s">
        <v>170</v>
      </c>
      <c r="C22" s="8" t="s">
        <v>138</v>
      </c>
      <c r="D22" s="8" t="s">
        <v>161</v>
      </c>
      <c r="E22" s="8" t="s">
        <v>128</v>
      </c>
      <c r="F22" s="16">
        <v>37624</v>
      </c>
      <c r="H22" s="13">
        <f t="shared" si="0"/>
        <v>37624</v>
      </c>
      <c r="I22" s="26"/>
      <c r="J22" s="26"/>
      <c r="K22" s="26"/>
      <c r="L22" s="8" t="s">
        <v>304</v>
      </c>
      <c r="M22" s="14">
        <f>Y22*Resumen!$C$6+AC22*Resumen!$C$7+AG22*Resumen!$C$9</f>
        <v>1</v>
      </c>
      <c r="N22" s="14">
        <f>Z22*Resumen!$C$6+AD22*Resumen!$C$7+AH22*Resumen!$C$9</f>
        <v>0.9</v>
      </c>
      <c r="O22" s="13">
        <f t="shared" si="1"/>
        <v>37624</v>
      </c>
      <c r="P22" s="13">
        <f t="shared" si="2"/>
        <v>33861.599999999999</v>
      </c>
      <c r="Q22" s="27"/>
      <c r="R22" s="27"/>
      <c r="S22" s="27"/>
      <c r="T22" s="28"/>
      <c r="U22" s="13">
        <f>H22*((Q22="Oficial")*Resumen!$C$6+(R22="Oficial")*Resumen!$C$7+(S22="Oficial")*Resumen!$C$9)</f>
        <v>0</v>
      </c>
      <c r="V22" s="8" t="str">
        <f t="shared" si="3"/>
        <v>Sin evidencia municipal</v>
      </c>
      <c r="W22" s="8">
        <f>IF(I22="",SUMPRODUCT(($I$5:$I$69="")*($H$5:$H$69&lt;H22))+SUMPRODUCT((I$5:I22="")*($H$5:H22=H22)),"")</f>
        <v>25</v>
      </c>
      <c r="X22" s="8">
        <f>IF(I22="",SUMPRODUCT(($I$5:$I$69="")*($H$5:$H$69&gt;H22))+SUMPRODUCT((I$5:I22="")*($H$5:H22=H22)),"")</f>
        <v>24</v>
      </c>
      <c r="Y22" s="8">
        <f t="shared" si="4"/>
        <v>1</v>
      </c>
      <c r="Z22" s="8">
        <f t="shared" si="5"/>
        <v>1</v>
      </c>
      <c r="AA22" s="8">
        <f>IF(J22="",SUMPRODUCT(($J$5:$J$69="")*($H$5:$H$69&lt;H22))+SUMPRODUCT((J$5:J22="")*($H$5:H22=H22)),"")</f>
        <v>25</v>
      </c>
      <c r="AB22" s="8">
        <f>IF(J22="",SUMPRODUCT(($J$5:$J$69="")*($H$5:$H$69&gt;H22))+SUMPRODUCT((J$5:J22="")*($H$5:H22=H22)),"")</f>
        <v>24</v>
      </c>
      <c r="AC22" s="8">
        <f t="shared" si="6"/>
        <v>1</v>
      </c>
      <c r="AD22" s="8">
        <f t="shared" si="7"/>
        <v>1</v>
      </c>
      <c r="AE22" s="8">
        <f>IF(K22="",SUMPRODUCT(($K$5:$K$69="")*($H$5:$H$69&lt;H22))+SUMPRODUCT((K$5:K22="")*($H$5:H22=H22)),"")</f>
        <v>15</v>
      </c>
      <c r="AF22" s="8">
        <f>IF(K22="",SUMPRODUCT(($K$5:$K$69="")*($H$5:$H$69&gt;H22))+SUMPRODUCT((K$5:K22="")*($H$5:H22=H22)),"")</f>
        <v>25</v>
      </c>
      <c r="AG22" s="8">
        <f t="shared" si="8"/>
        <v>1</v>
      </c>
      <c r="AH22" s="8">
        <f t="shared" si="9"/>
        <v>0</v>
      </c>
    </row>
    <row r="23" spans="1:34" ht="15" customHeight="1" x14ac:dyDescent="0.25">
      <c r="A23" s="8" t="s">
        <v>171</v>
      </c>
      <c r="B23" s="8" t="s">
        <v>172</v>
      </c>
      <c r="C23" s="8" t="s">
        <v>149</v>
      </c>
      <c r="D23" s="8" t="s">
        <v>161</v>
      </c>
      <c r="E23" s="8" t="s">
        <v>128</v>
      </c>
      <c r="F23" s="16">
        <v>35519</v>
      </c>
      <c r="H23" s="13">
        <f t="shared" si="0"/>
        <v>35519</v>
      </c>
      <c r="I23" s="26"/>
      <c r="J23" s="26"/>
      <c r="K23" s="21">
        <v>0</v>
      </c>
      <c r="L23" s="8" t="s">
        <v>301</v>
      </c>
      <c r="M23" s="14">
        <f>Y23*Resumen!$C$6+AC23*Resumen!$C$7+AG23*Resumen!$C$9</f>
        <v>0.9</v>
      </c>
      <c r="N23" s="14">
        <f>Z23*Resumen!$C$6+AD23*Resumen!$C$7+AH23*Resumen!$C$9</f>
        <v>0.9</v>
      </c>
      <c r="O23" s="13">
        <f t="shared" si="1"/>
        <v>31967.100000000002</v>
      </c>
      <c r="P23" s="13">
        <f t="shared" si="2"/>
        <v>31967.100000000002</v>
      </c>
      <c r="Q23" s="27"/>
      <c r="R23" s="27"/>
      <c r="S23" s="27"/>
      <c r="T23" s="28"/>
      <c r="U23" s="13">
        <f>H23*((Q23="Oficial")*Resumen!$C$6+(R23="Oficial")*Resumen!$C$7+(S23="Oficial")*Resumen!$C$9)</f>
        <v>0</v>
      </c>
      <c r="V23" s="8" t="str">
        <f t="shared" si="3"/>
        <v>Sin evidencia municipal</v>
      </c>
      <c r="W23" s="8">
        <f>IF(I23="",SUMPRODUCT(($I$5:$I$69="")*($H$5:$H$69&lt;H23))+SUMPRODUCT((I$5:I23="")*($H$5:H23=H23)),"")</f>
        <v>23</v>
      </c>
      <c r="X23" s="8">
        <f>IF(I23="",SUMPRODUCT(($I$5:$I$69="")*($H$5:$H$69&gt;H23))+SUMPRODUCT((I$5:I23="")*($H$5:H23=H23)),"")</f>
        <v>26</v>
      </c>
      <c r="Y23" s="8">
        <f t="shared" si="4"/>
        <v>1</v>
      </c>
      <c r="Z23" s="8">
        <f t="shared" si="5"/>
        <v>1</v>
      </c>
      <c r="AA23" s="8">
        <f>IF(J23="",SUMPRODUCT(($J$5:$J$69="")*($H$5:$H$69&lt;H23))+SUMPRODUCT((J$5:J23="")*($H$5:H23=H23)),"")</f>
        <v>23</v>
      </c>
      <c r="AB23" s="8">
        <f>IF(J23="",SUMPRODUCT(($J$5:$J$69="")*($H$5:$H$69&gt;H23))+SUMPRODUCT((J$5:J23="")*($H$5:H23=H23)),"")</f>
        <v>26</v>
      </c>
      <c r="AC23" s="8">
        <f t="shared" si="6"/>
        <v>1</v>
      </c>
      <c r="AD23" s="8">
        <f t="shared" si="7"/>
        <v>1</v>
      </c>
      <c r="AE23" s="8" t="str">
        <f>IF(K23="",SUMPRODUCT(($K$5:$K$69="")*($H$5:$H$69&lt;H23))+SUMPRODUCT((K$5:K23="")*($H$5:H23=H23)),"")</f>
        <v/>
      </c>
      <c r="AF23" s="8" t="str">
        <f>IF(K23="",SUMPRODUCT(($K$5:$K$69="")*($H$5:$H$69&gt;H23))+SUMPRODUCT((K$5:K23="")*($H$5:H23=H23)),"")</f>
        <v/>
      </c>
      <c r="AG23" s="8">
        <f t="shared" si="8"/>
        <v>0</v>
      </c>
      <c r="AH23" s="8">
        <f t="shared" si="9"/>
        <v>0</v>
      </c>
    </row>
    <row r="24" spans="1:34" ht="15" customHeight="1" x14ac:dyDescent="0.25">
      <c r="A24" s="8" t="s">
        <v>173</v>
      </c>
      <c r="B24" s="8" t="s">
        <v>174</v>
      </c>
      <c r="C24" s="8" t="s">
        <v>138</v>
      </c>
      <c r="D24" s="8" t="s">
        <v>161</v>
      </c>
      <c r="E24" s="8" t="s">
        <v>128</v>
      </c>
      <c r="F24" s="16">
        <v>23206</v>
      </c>
      <c r="H24" s="13">
        <f t="shared" si="0"/>
        <v>23206</v>
      </c>
      <c r="I24" s="26"/>
      <c r="J24" s="26"/>
      <c r="K24" s="26"/>
      <c r="L24" s="8" t="s">
        <v>304</v>
      </c>
      <c r="M24" s="14">
        <f>Y24*Resumen!$C$6+AC24*Resumen!$C$7+AG24*Resumen!$C$9</f>
        <v>1</v>
      </c>
      <c r="N24" s="14">
        <f>Z24*Resumen!$C$6+AD24*Resumen!$C$7+AH24*Resumen!$C$9</f>
        <v>0</v>
      </c>
      <c r="O24" s="13">
        <f t="shared" si="1"/>
        <v>23206</v>
      </c>
      <c r="P24" s="13">
        <f t="shared" si="2"/>
        <v>0</v>
      </c>
      <c r="Q24" s="27"/>
      <c r="R24" s="27"/>
      <c r="S24" s="27"/>
      <c r="T24" s="28"/>
      <c r="U24" s="13">
        <f>H24*((Q24="Oficial")*Resumen!$C$6+(R24="Oficial")*Resumen!$C$7+(S24="Oficial")*Resumen!$C$9)</f>
        <v>0</v>
      </c>
      <c r="V24" s="8" t="str">
        <f t="shared" si="3"/>
        <v>Sin evidencia municipal</v>
      </c>
      <c r="W24" s="8">
        <f>IF(I24="",SUMPRODUCT(($I$5:$I$69="")*($H$5:$H$69&lt;H24))+SUMPRODUCT((I$5:I24="")*($H$5:H24=H24)),"")</f>
        <v>10</v>
      </c>
      <c r="X24" s="8">
        <f>IF(I24="",SUMPRODUCT(($I$5:$I$69="")*($H$5:$H$69&gt;H24))+SUMPRODUCT((I$5:I24="")*($H$5:H24=H24)),"")</f>
        <v>39</v>
      </c>
      <c r="Y24" s="8">
        <f t="shared" si="4"/>
        <v>1</v>
      </c>
      <c r="Z24" s="8">
        <f t="shared" si="5"/>
        <v>0</v>
      </c>
      <c r="AA24" s="8">
        <f>IF(J24="",SUMPRODUCT(($J$5:$J$69="")*($H$5:$H$69&lt;H24))+SUMPRODUCT((J$5:J24="")*($H$5:H24=H24)),"")</f>
        <v>10</v>
      </c>
      <c r="AB24" s="8">
        <f>IF(J24="",SUMPRODUCT(($J$5:$J$69="")*($H$5:$H$69&gt;H24))+SUMPRODUCT((J$5:J24="")*($H$5:H24=H24)),"")</f>
        <v>39</v>
      </c>
      <c r="AC24" s="8">
        <f t="shared" si="6"/>
        <v>1</v>
      </c>
      <c r="AD24" s="8">
        <f t="shared" si="7"/>
        <v>0</v>
      </c>
      <c r="AE24" s="8">
        <f>IF(K24="",SUMPRODUCT(($K$5:$K$69="")*($H$5:$H$69&lt;H24))+SUMPRODUCT((K$5:K24="")*($H$5:H24=H24)),"")</f>
        <v>5</v>
      </c>
      <c r="AF24" s="8">
        <f>IF(K24="",SUMPRODUCT(($K$5:$K$69="")*($H$5:$H$69&gt;H24))+SUMPRODUCT((K$5:K24="")*($H$5:H24=H24)),"")</f>
        <v>35</v>
      </c>
      <c r="AG24" s="8">
        <f t="shared" si="8"/>
        <v>1</v>
      </c>
      <c r="AH24" s="8">
        <f t="shared" si="9"/>
        <v>0</v>
      </c>
    </row>
    <row r="25" spans="1:34" ht="15" customHeight="1" x14ac:dyDescent="0.25">
      <c r="A25" s="8" t="s">
        <v>175</v>
      </c>
      <c r="B25" s="8" t="s">
        <v>176</v>
      </c>
      <c r="C25" s="8" t="s">
        <v>177</v>
      </c>
      <c r="D25" s="8" t="s">
        <v>161</v>
      </c>
      <c r="E25" s="8" t="s">
        <v>128</v>
      </c>
      <c r="F25" s="16">
        <v>26258</v>
      </c>
      <c r="H25" s="13">
        <f t="shared" si="0"/>
        <v>26258</v>
      </c>
      <c r="I25" s="26"/>
      <c r="J25" s="26"/>
      <c r="K25" s="26"/>
      <c r="L25" s="8" t="s">
        <v>304</v>
      </c>
      <c r="M25" s="14">
        <f>Y25*Resumen!$C$6+AC25*Resumen!$C$7+AG25*Resumen!$C$9</f>
        <v>1</v>
      </c>
      <c r="N25" s="14">
        <f>Z25*Resumen!$C$6+AD25*Resumen!$C$7+AH25*Resumen!$C$9</f>
        <v>0.45</v>
      </c>
      <c r="O25" s="13">
        <f t="shared" si="1"/>
        <v>26258</v>
      </c>
      <c r="P25" s="13">
        <f t="shared" si="2"/>
        <v>11816.1</v>
      </c>
      <c r="Q25" s="27"/>
      <c r="R25" s="27"/>
      <c r="S25" s="27"/>
      <c r="T25" s="28"/>
      <c r="U25" s="13">
        <f>H25*((Q25="Oficial")*Resumen!$C$6+(R25="Oficial")*Resumen!$C$7+(S25="Oficial")*Resumen!$C$9)</f>
        <v>0</v>
      </c>
      <c r="V25" s="8" t="str">
        <f t="shared" si="3"/>
        <v>Sin evidencia municipal</v>
      </c>
      <c r="W25" s="8">
        <f>IF(I25="",SUMPRODUCT(($I$5:$I$69="")*($H$5:$H$69&lt;H25))+SUMPRODUCT((I$5:I25="")*($H$5:H25=H25)),"")</f>
        <v>14</v>
      </c>
      <c r="X25" s="8">
        <f>IF(I25="",SUMPRODUCT(($I$5:$I$69="")*($H$5:$H$69&gt;H25))+SUMPRODUCT((I$5:I25="")*($H$5:H25=H25)),"")</f>
        <v>35</v>
      </c>
      <c r="Y25" s="8">
        <f t="shared" si="4"/>
        <v>1</v>
      </c>
      <c r="Z25" s="8">
        <f t="shared" si="5"/>
        <v>1</v>
      </c>
      <c r="AA25" s="8">
        <f>IF(J25="",SUMPRODUCT(($J$5:$J$69="")*($H$5:$H$69&lt;H25))+SUMPRODUCT((J$5:J25="")*($H$5:H25=H25)),"")</f>
        <v>14</v>
      </c>
      <c r="AB25" s="8">
        <f>IF(J25="",SUMPRODUCT(($J$5:$J$69="")*($H$5:$H$69&gt;H25))+SUMPRODUCT((J$5:J25="")*($H$5:H25=H25)),"")</f>
        <v>35</v>
      </c>
      <c r="AC25" s="8">
        <f t="shared" si="6"/>
        <v>1</v>
      </c>
      <c r="AD25" s="8">
        <f t="shared" si="7"/>
        <v>0</v>
      </c>
      <c r="AE25" s="8">
        <f>IF(K25="",SUMPRODUCT(($K$5:$K$69="")*($H$5:$H$69&lt;H25))+SUMPRODUCT((K$5:K25="")*($H$5:H25=H25)),"")</f>
        <v>8</v>
      </c>
      <c r="AF25" s="8">
        <f>IF(K25="",SUMPRODUCT(($K$5:$K$69="")*($H$5:$H$69&gt;H25))+SUMPRODUCT((K$5:K25="")*($H$5:H25=H25)),"")</f>
        <v>32</v>
      </c>
      <c r="AG25" s="8">
        <f t="shared" si="8"/>
        <v>1</v>
      </c>
      <c r="AH25" s="8">
        <f t="shared" si="9"/>
        <v>0</v>
      </c>
    </row>
    <row r="26" spans="1:34" ht="15" customHeight="1" x14ac:dyDescent="0.25">
      <c r="A26" s="8" t="s">
        <v>178</v>
      </c>
      <c r="B26" s="8" t="s">
        <v>179</v>
      </c>
      <c r="C26" s="8" t="s">
        <v>180</v>
      </c>
      <c r="D26" s="8" t="s">
        <v>161</v>
      </c>
      <c r="E26" s="8" t="s">
        <v>128</v>
      </c>
      <c r="F26" s="16">
        <v>169909</v>
      </c>
      <c r="H26" s="13">
        <f t="shared" si="0"/>
        <v>169909</v>
      </c>
      <c r="I26" s="26"/>
      <c r="J26" s="26"/>
      <c r="K26" s="26"/>
      <c r="L26" s="8" t="s">
        <v>304</v>
      </c>
      <c r="M26" s="14">
        <f>Y26*Resumen!$C$6+AC26*Resumen!$C$7+AG26*Resumen!$C$9</f>
        <v>0</v>
      </c>
      <c r="N26" s="14">
        <f>Z26*Resumen!$C$6+AD26*Resumen!$C$7+AH26*Resumen!$C$9</f>
        <v>1</v>
      </c>
      <c r="O26" s="13">
        <f t="shared" si="1"/>
        <v>0</v>
      </c>
      <c r="P26" s="13">
        <f t="shared" si="2"/>
        <v>169909</v>
      </c>
      <c r="Q26" s="27"/>
      <c r="R26" s="27"/>
      <c r="S26" s="27"/>
      <c r="T26" s="28"/>
      <c r="U26" s="13">
        <f>H26*((Q26="Oficial")*Resumen!$C$6+(R26="Oficial")*Resumen!$C$7+(S26="Oficial")*Resumen!$C$9)</f>
        <v>0</v>
      </c>
      <c r="V26" s="8" t="str">
        <f t="shared" si="3"/>
        <v>Sin evidencia municipal</v>
      </c>
      <c r="W26" s="8">
        <f>IF(I26="",SUMPRODUCT(($I$5:$I$69="")*($H$5:$H$69&lt;H26))+SUMPRODUCT((I$5:I26="")*($H$5:H26=H26)),"")</f>
        <v>44</v>
      </c>
      <c r="X26" s="8">
        <f>IF(I26="",SUMPRODUCT(($I$5:$I$69="")*($H$5:$H$69&gt;H26))+SUMPRODUCT((I$5:I26="")*($H$5:H26=H26)),"")</f>
        <v>5</v>
      </c>
      <c r="Y26" s="8">
        <f t="shared" si="4"/>
        <v>0</v>
      </c>
      <c r="Z26" s="8">
        <f t="shared" si="5"/>
        <v>1</v>
      </c>
      <c r="AA26" s="8">
        <f>IF(J26="",SUMPRODUCT(($J$5:$J$69="")*($H$5:$H$69&lt;H26))+SUMPRODUCT((J$5:J26="")*($H$5:H26=H26)),"")</f>
        <v>44</v>
      </c>
      <c r="AB26" s="8">
        <f>IF(J26="",SUMPRODUCT(($J$5:$J$69="")*($H$5:$H$69&gt;H26))+SUMPRODUCT((J$5:J26="")*($H$5:H26=H26)),"")</f>
        <v>5</v>
      </c>
      <c r="AC26" s="8">
        <f t="shared" si="6"/>
        <v>0</v>
      </c>
      <c r="AD26" s="8">
        <f t="shared" si="7"/>
        <v>1</v>
      </c>
      <c r="AE26" s="8">
        <f>IF(K26="",SUMPRODUCT(($K$5:$K$69="")*($H$5:$H$69&lt;H26))+SUMPRODUCT((K$5:K26="")*($H$5:H26=H26)),"")</f>
        <v>36</v>
      </c>
      <c r="AF26" s="8">
        <f>IF(K26="",SUMPRODUCT(($K$5:$K$69="")*($H$5:$H$69&gt;H26))+SUMPRODUCT((K$5:K26="")*($H$5:H26=H26)),"")</f>
        <v>4</v>
      </c>
      <c r="AG26" s="8">
        <f t="shared" si="8"/>
        <v>0</v>
      </c>
      <c r="AH26" s="8">
        <f t="shared" si="9"/>
        <v>1</v>
      </c>
    </row>
    <row r="27" spans="1:34" ht="15" customHeight="1" x14ac:dyDescent="0.25">
      <c r="A27" s="8" t="s">
        <v>181</v>
      </c>
      <c r="B27" s="8" t="s">
        <v>182</v>
      </c>
      <c r="C27" s="8" t="s">
        <v>149</v>
      </c>
      <c r="D27" s="8" t="s">
        <v>161</v>
      </c>
      <c r="E27" s="8" t="s">
        <v>128</v>
      </c>
      <c r="F27" s="16">
        <v>36484</v>
      </c>
      <c r="H27" s="13">
        <f t="shared" si="0"/>
        <v>36484</v>
      </c>
      <c r="I27" s="26"/>
      <c r="J27" s="26"/>
      <c r="K27" s="26"/>
      <c r="L27" s="8" t="s">
        <v>304</v>
      </c>
      <c r="M27" s="14">
        <f>Y27*Resumen!$C$6+AC27*Resumen!$C$7+AG27*Resumen!$C$9</f>
        <v>1</v>
      </c>
      <c r="N27" s="14">
        <f>Z27*Resumen!$C$6+AD27*Resumen!$C$7+AH27*Resumen!$C$9</f>
        <v>0.9</v>
      </c>
      <c r="O27" s="13">
        <f t="shared" si="1"/>
        <v>36484</v>
      </c>
      <c r="P27" s="13">
        <f t="shared" si="2"/>
        <v>32835.599999999999</v>
      </c>
      <c r="Q27" s="27"/>
      <c r="R27" s="27"/>
      <c r="S27" s="27"/>
      <c r="T27" s="28"/>
      <c r="U27" s="13">
        <f>H27*((Q27="Oficial")*Resumen!$C$6+(R27="Oficial")*Resumen!$C$7+(S27="Oficial")*Resumen!$C$9)</f>
        <v>0</v>
      </c>
      <c r="V27" s="8" t="str">
        <f t="shared" si="3"/>
        <v>Sin evidencia municipal</v>
      </c>
      <c r="W27" s="8">
        <f>IF(I27="",SUMPRODUCT(($I$5:$I$69="")*($H$5:$H$69&lt;H27))+SUMPRODUCT((I$5:I27="")*($H$5:H27=H27)),"")</f>
        <v>24</v>
      </c>
      <c r="X27" s="8">
        <f>IF(I27="",SUMPRODUCT(($I$5:$I$69="")*($H$5:$H$69&gt;H27))+SUMPRODUCT((I$5:I27="")*($H$5:H27=H27)),"")</f>
        <v>25</v>
      </c>
      <c r="Y27" s="8">
        <f t="shared" si="4"/>
        <v>1</v>
      </c>
      <c r="Z27" s="8">
        <f t="shared" si="5"/>
        <v>1</v>
      </c>
      <c r="AA27" s="8">
        <f>IF(J27="",SUMPRODUCT(($J$5:$J$69="")*($H$5:$H$69&lt;H27))+SUMPRODUCT((J$5:J27="")*($H$5:H27=H27)),"")</f>
        <v>24</v>
      </c>
      <c r="AB27" s="8">
        <f>IF(J27="",SUMPRODUCT(($J$5:$J$69="")*($H$5:$H$69&gt;H27))+SUMPRODUCT((J$5:J27="")*($H$5:H27=H27)),"")</f>
        <v>25</v>
      </c>
      <c r="AC27" s="8">
        <f t="shared" si="6"/>
        <v>1</v>
      </c>
      <c r="AD27" s="8">
        <f t="shared" si="7"/>
        <v>1</v>
      </c>
      <c r="AE27" s="8">
        <f>IF(K27="",SUMPRODUCT(($K$5:$K$69="")*($H$5:$H$69&lt;H27))+SUMPRODUCT((K$5:K27="")*($H$5:H27=H27)),"")</f>
        <v>14</v>
      </c>
      <c r="AF27" s="8">
        <f>IF(K27="",SUMPRODUCT(($K$5:$K$69="")*($H$5:$H$69&gt;H27))+SUMPRODUCT((K$5:K27="")*($H$5:H27=H27)),"")</f>
        <v>26</v>
      </c>
      <c r="AG27" s="8">
        <f t="shared" si="8"/>
        <v>1</v>
      </c>
      <c r="AH27" s="8">
        <f t="shared" si="9"/>
        <v>0</v>
      </c>
    </row>
    <row r="28" spans="1:34" ht="15" customHeight="1" x14ac:dyDescent="0.25">
      <c r="A28" s="8" t="s">
        <v>183</v>
      </c>
      <c r="B28" s="8" t="s">
        <v>184</v>
      </c>
      <c r="C28" s="8" t="s">
        <v>185</v>
      </c>
      <c r="D28" s="8" t="s">
        <v>161</v>
      </c>
      <c r="E28" s="8" t="s">
        <v>128</v>
      </c>
      <c r="F28" s="16">
        <v>76629</v>
      </c>
      <c r="H28" s="13">
        <f t="shared" si="0"/>
        <v>76629</v>
      </c>
      <c r="I28" s="26"/>
      <c r="J28" s="26"/>
      <c r="K28" s="26"/>
      <c r="L28" s="8" t="s">
        <v>304</v>
      </c>
      <c r="M28" s="14">
        <f>Y28*Resumen!$C$6+AC28*Resumen!$C$7+AG28*Resumen!$C$9</f>
        <v>0.45</v>
      </c>
      <c r="N28" s="14">
        <f>Z28*Resumen!$C$6+AD28*Resumen!$C$7+AH28*Resumen!$C$9</f>
        <v>1</v>
      </c>
      <c r="O28" s="13">
        <f t="shared" si="1"/>
        <v>34483.050000000003</v>
      </c>
      <c r="P28" s="13">
        <f t="shared" si="2"/>
        <v>76629</v>
      </c>
      <c r="Q28" s="27"/>
      <c r="R28" s="27"/>
      <c r="S28" s="27"/>
      <c r="T28" s="28"/>
      <c r="U28" s="13">
        <f>H28*((Q28="Oficial")*Resumen!$C$6+(R28="Oficial")*Resumen!$C$7+(S28="Oficial")*Resumen!$C$9)</f>
        <v>0</v>
      </c>
      <c r="V28" s="8" t="str">
        <f t="shared" si="3"/>
        <v>Sin evidencia municipal</v>
      </c>
      <c r="W28" s="8">
        <f>IF(I28="",SUMPRODUCT(($I$5:$I$69="")*($H$5:$H$69&lt;H28))+SUMPRODUCT((I$5:I28="")*($H$5:H28=H28)),"")</f>
        <v>34</v>
      </c>
      <c r="X28" s="8">
        <f>IF(I28="",SUMPRODUCT(($I$5:$I$69="")*($H$5:$H$69&gt;H28))+SUMPRODUCT((I$5:I28="")*($H$5:H28=H28)),"")</f>
        <v>15</v>
      </c>
      <c r="Y28" s="8">
        <f t="shared" si="4"/>
        <v>1</v>
      </c>
      <c r="Z28" s="8">
        <f t="shared" si="5"/>
        <v>1</v>
      </c>
      <c r="AA28" s="8">
        <f>IF(J28="",SUMPRODUCT(($J$5:$J$69="")*($H$5:$H$69&lt;H28))+SUMPRODUCT((J$5:J28="")*($H$5:H28=H28)),"")</f>
        <v>34</v>
      </c>
      <c r="AB28" s="8">
        <f>IF(J28="",SUMPRODUCT(($J$5:$J$69="")*($H$5:$H$69&gt;H28))+SUMPRODUCT((J$5:J28="")*($H$5:H28=H28)),"")</f>
        <v>15</v>
      </c>
      <c r="AC28" s="8">
        <f t="shared" si="6"/>
        <v>0</v>
      </c>
      <c r="AD28" s="8">
        <f t="shared" si="7"/>
        <v>1</v>
      </c>
      <c r="AE28" s="8">
        <f>IF(K28="",SUMPRODUCT(($K$5:$K$69="")*($H$5:$H$69&lt;H28))+SUMPRODUCT((K$5:K28="")*($H$5:H28=H28)),"")</f>
        <v>25</v>
      </c>
      <c r="AF28" s="8">
        <f>IF(K28="",SUMPRODUCT(($K$5:$K$69="")*($H$5:$H$69&gt;H28))+SUMPRODUCT((K$5:K28="")*($H$5:H28=H28)),"")</f>
        <v>15</v>
      </c>
      <c r="AG28" s="8">
        <f t="shared" si="8"/>
        <v>0</v>
      </c>
      <c r="AH28" s="8">
        <f t="shared" si="9"/>
        <v>1</v>
      </c>
    </row>
    <row r="29" spans="1:34" ht="23.85" customHeight="1" x14ac:dyDescent="0.25">
      <c r="A29" s="8" t="s">
        <v>186</v>
      </c>
      <c r="B29" s="8" t="s">
        <v>187</v>
      </c>
      <c r="C29" s="8" t="s">
        <v>157</v>
      </c>
      <c r="D29" s="8" t="s">
        <v>161</v>
      </c>
      <c r="E29" s="8" t="s">
        <v>128</v>
      </c>
      <c r="F29" s="16">
        <v>4691</v>
      </c>
      <c r="G29" s="16">
        <v>4691.49</v>
      </c>
      <c r="H29" s="13">
        <f t="shared" si="0"/>
        <v>4691.49</v>
      </c>
      <c r="I29" s="21">
        <v>1</v>
      </c>
      <c r="J29" s="21">
        <v>1</v>
      </c>
      <c r="K29" s="21">
        <v>1</v>
      </c>
      <c r="L29" s="8" t="s">
        <v>298</v>
      </c>
      <c r="M29" s="14">
        <f>Y29*Resumen!$C$6+AC29*Resumen!$C$7+AG29*Resumen!$C$9</f>
        <v>1</v>
      </c>
      <c r="N29" s="14">
        <f>Z29*Resumen!$C$6+AD29*Resumen!$C$7+AH29*Resumen!$C$9</f>
        <v>1</v>
      </c>
      <c r="O29" s="13">
        <f t="shared" si="1"/>
        <v>4691.49</v>
      </c>
      <c r="P29" s="13">
        <f t="shared" si="2"/>
        <v>4691.49</v>
      </c>
      <c r="Q29" s="21" t="s">
        <v>299</v>
      </c>
      <c r="R29" s="21" t="s">
        <v>299</v>
      </c>
      <c r="S29" s="21" t="s">
        <v>299</v>
      </c>
      <c r="T29" s="8" t="s">
        <v>309</v>
      </c>
      <c r="U29" s="13">
        <f>H29*((Q29="Oficial")*Resumen!$C$6+(R29="Oficial")*Resumen!$C$7+(S29="Oficial")*Resumen!$C$9)</f>
        <v>0</v>
      </c>
      <c r="V29" s="8" t="str">
        <f t="shared" si="3"/>
        <v>Con entregas verificadas</v>
      </c>
      <c r="W29" s="8" t="str">
        <f>IF(I29="",SUMPRODUCT(($I$5:$I$69="")*($H$5:$H$69&lt;H29))+SUMPRODUCT((I$5:I29="")*($H$5:H29=H29)),"")</f>
        <v/>
      </c>
      <c r="X29" s="8" t="str">
        <f>IF(I29="",SUMPRODUCT(($I$5:$I$69="")*($H$5:$H$69&gt;H29))+SUMPRODUCT((I$5:I29="")*($H$5:H29=H29)),"")</f>
        <v/>
      </c>
      <c r="Y29" s="8">
        <f t="shared" si="4"/>
        <v>1</v>
      </c>
      <c r="Z29" s="8">
        <f t="shared" si="5"/>
        <v>1</v>
      </c>
      <c r="AA29" s="8" t="str">
        <f>IF(J29="",SUMPRODUCT(($J$5:$J$69="")*($H$5:$H$69&lt;H29))+SUMPRODUCT((J$5:J29="")*($H$5:H29=H29)),"")</f>
        <v/>
      </c>
      <c r="AB29" s="8" t="str">
        <f>IF(J29="",SUMPRODUCT(($J$5:$J$69="")*($H$5:$H$69&gt;H29))+SUMPRODUCT((J$5:J29="")*($H$5:H29=H29)),"")</f>
        <v/>
      </c>
      <c r="AC29" s="8">
        <f t="shared" si="6"/>
        <v>1</v>
      </c>
      <c r="AD29" s="8">
        <f t="shared" si="7"/>
        <v>1</v>
      </c>
      <c r="AE29" s="8" t="str">
        <f>IF(K29="",SUMPRODUCT(($K$5:$K$69="")*($H$5:$H$69&lt;H29))+SUMPRODUCT((K$5:K29="")*($H$5:H29=H29)),"")</f>
        <v/>
      </c>
      <c r="AF29" s="8" t="str">
        <f>IF(K29="",SUMPRODUCT(($K$5:$K$69="")*($H$5:$H$69&gt;H29))+SUMPRODUCT((K$5:K29="")*($H$5:H29=H29)),"")</f>
        <v/>
      </c>
      <c r="AG29" s="8">
        <f t="shared" si="8"/>
        <v>1</v>
      </c>
      <c r="AH29" s="8">
        <f t="shared" si="9"/>
        <v>1</v>
      </c>
    </row>
    <row r="30" spans="1:34" ht="15" customHeight="1" x14ac:dyDescent="0.25">
      <c r="A30" s="8" t="s">
        <v>188</v>
      </c>
      <c r="B30" s="8" t="s">
        <v>189</v>
      </c>
      <c r="C30" s="8" t="s">
        <v>149</v>
      </c>
      <c r="D30" s="8" t="s">
        <v>161</v>
      </c>
      <c r="E30" s="8" t="s">
        <v>128</v>
      </c>
      <c r="F30" s="16">
        <v>195844</v>
      </c>
      <c r="H30" s="13">
        <f t="shared" si="0"/>
        <v>195844</v>
      </c>
      <c r="I30" s="26"/>
      <c r="J30" s="26"/>
      <c r="K30" s="26"/>
      <c r="L30" s="8" t="s">
        <v>304</v>
      </c>
      <c r="M30" s="14">
        <f>Y30*Resumen!$C$6+AC30*Resumen!$C$7+AG30*Resumen!$C$9</f>
        <v>0</v>
      </c>
      <c r="N30" s="14">
        <f>Z30*Resumen!$C$6+AD30*Resumen!$C$7+AH30*Resumen!$C$9</f>
        <v>1</v>
      </c>
      <c r="O30" s="13">
        <f t="shared" si="1"/>
        <v>0</v>
      </c>
      <c r="P30" s="13">
        <f t="shared" si="2"/>
        <v>195844</v>
      </c>
      <c r="Q30" s="27"/>
      <c r="R30" s="27"/>
      <c r="S30" s="27"/>
      <c r="T30" s="28"/>
      <c r="U30" s="13">
        <f>H30*((Q30="Oficial")*Resumen!$C$6+(R30="Oficial")*Resumen!$C$7+(S30="Oficial")*Resumen!$C$9)</f>
        <v>0</v>
      </c>
      <c r="V30" s="8" t="str">
        <f t="shared" si="3"/>
        <v>Sin evidencia municipal</v>
      </c>
      <c r="W30" s="8">
        <f>IF(I30="",SUMPRODUCT(($I$5:$I$69="")*($H$5:$H$69&lt;H30))+SUMPRODUCT((I$5:I30="")*($H$5:H30=H30)),"")</f>
        <v>46</v>
      </c>
      <c r="X30" s="8">
        <f>IF(I30="",SUMPRODUCT(($I$5:$I$69="")*($H$5:$H$69&gt;H30))+SUMPRODUCT((I$5:I30="")*($H$5:H30=H30)),"")</f>
        <v>3</v>
      </c>
      <c r="Y30" s="8">
        <f t="shared" si="4"/>
        <v>0</v>
      </c>
      <c r="Z30" s="8">
        <f t="shared" si="5"/>
        <v>1</v>
      </c>
      <c r="AA30" s="8">
        <f>IF(J30="",SUMPRODUCT(($J$5:$J$69="")*($H$5:$H$69&lt;H30))+SUMPRODUCT((J$5:J30="")*($H$5:H30=H30)),"")</f>
        <v>46</v>
      </c>
      <c r="AB30" s="8">
        <f>IF(J30="",SUMPRODUCT(($J$5:$J$69="")*($H$5:$H$69&gt;H30))+SUMPRODUCT((J$5:J30="")*($H$5:H30=H30)),"")</f>
        <v>3</v>
      </c>
      <c r="AC30" s="8">
        <f t="shared" si="6"/>
        <v>0</v>
      </c>
      <c r="AD30" s="8">
        <f t="shared" si="7"/>
        <v>1</v>
      </c>
      <c r="AE30" s="8">
        <f>IF(K30="",SUMPRODUCT(($K$5:$K$69="")*($H$5:$H$69&lt;H30))+SUMPRODUCT((K$5:K30="")*($H$5:H30=H30)),"")</f>
        <v>38</v>
      </c>
      <c r="AF30" s="8">
        <f>IF(K30="",SUMPRODUCT(($K$5:$K$69="")*($H$5:$H$69&gt;H30))+SUMPRODUCT((K$5:K30="")*($H$5:H30=H30)),"")</f>
        <v>2</v>
      </c>
      <c r="AG30" s="8">
        <f t="shared" si="8"/>
        <v>0</v>
      </c>
      <c r="AH30" s="8">
        <f t="shared" si="9"/>
        <v>1</v>
      </c>
    </row>
    <row r="31" spans="1:34" ht="15" customHeight="1" x14ac:dyDescent="0.25">
      <c r="A31" s="8" t="s">
        <v>190</v>
      </c>
      <c r="B31" s="8" t="s">
        <v>191</v>
      </c>
      <c r="C31" s="8" t="s">
        <v>149</v>
      </c>
      <c r="D31" s="8" t="s">
        <v>161</v>
      </c>
      <c r="E31" s="8" t="s">
        <v>128</v>
      </c>
      <c r="F31" s="16">
        <v>24687</v>
      </c>
      <c r="H31" s="13">
        <f t="shared" si="0"/>
        <v>24687</v>
      </c>
      <c r="I31" s="26"/>
      <c r="J31" s="26"/>
      <c r="K31" s="26"/>
      <c r="L31" s="8" t="s">
        <v>304</v>
      </c>
      <c r="M31" s="14">
        <f>Y31*Resumen!$C$6+AC31*Resumen!$C$7+AG31*Resumen!$C$9</f>
        <v>1</v>
      </c>
      <c r="N31" s="14">
        <f>Z31*Resumen!$C$6+AD31*Resumen!$C$7+AH31*Resumen!$C$9</f>
        <v>0</v>
      </c>
      <c r="O31" s="13">
        <f t="shared" si="1"/>
        <v>24687</v>
      </c>
      <c r="P31" s="13">
        <f t="shared" si="2"/>
        <v>0</v>
      </c>
      <c r="Q31" s="27"/>
      <c r="R31" s="27"/>
      <c r="S31" s="27"/>
      <c r="T31" s="28"/>
      <c r="U31" s="13">
        <f>H31*((Q31="Oficial")*Resumen!$C$6+(R31="Oficial")*Resumen!$C$7+(S31="Oficial")*Resumen!$C$9)</f>
        <v>0</v>
      </c>
      <c r="V31" s="8" t="str">
        <f t="shared" si="3"/>
        <v>Sin evidencia municipal</v>
      </c>
      <c r="W31" s="8">
        <f>IF(I31="",SUMPRODUCT(($I$5:$I$69="")*($H$5:$H$69&lt;H31))+SUMPRODUCT((I$5:I31="")*($H$5:H31=H31)),"")</f>
        <v>12</v>
      </c>
      <c r="X31" s="8">
        <f>IF(I31="",SUMPRODUCT(($I$5:$I$69="")*($H$5:$H$69&gt;H31))+SUMPRODUCT((I$5:I31="")*($H$5:H31=H31)),"")</f>
        <v>37</v>
      </c>
      <c r="Y31" s="8">
        <f t="shared" si="4"/>
        <v>1</v>
      </c>
      <c r="Z31" s="8">
        <f t="shared" si="5"/>
        <v>0</v>
      </c>
      <c r="AA31" s="8">
        <f>IF(J31="",SUMPRODUCT(($J$5:$J$69="")*($H$5:$H$69&lt;H31))+SUMPRODUCT((J$5:J31="")*($H$5:H31=H31)),"")</f>
        <v>12</v>
      </c>
      <c r="AB31" s="8">
        <f>IF(J31="",SUMPRODUCT(($J$5:$J$69="")*($H$5:$H$69&gt;H31))+SUMPRODUCT((J$5:J31="")*($H$5:H31=H31)),"")</f>
        <v>37</v>
      </c>
      <c r="AC31" s="8">
        <f t="shared" si="6"/>
        <v>1</v>
      </c>
      <c r="AD31" s="8">
        <f t="shared" si="7"/>
        <v>0</v>
      </c>
      <c r="AE31" s="8">
        <f>IF(K31="",SUMPRODUCT(($K$5:$K$69="")*($H$5:$H$69&lt;H31))+SUMPRODUCT((K$5:K31="")*($H$5:H31=H31)),"")</f>
        <v>7</v>
      </c>
      <c r="AF31" s="8">
        <f>IF(K31="",SUMPRODUCT(($K$5:$K$69="")*($H$5:$H$69&gt;H31))+SUMPRODUCT((K$5:K31="")*($H$5:H31=H31)),"")</f>
        <v>33</v>
      </c>
      <c r="AG31" s="8">
        <f t="shared" si="8"/>
        <v>1</v>
      </c>
      <c r="AH31" s="8">
        <f t="shared" si="9"/>
        <v>0</v>
      </c>
    </row>
    <row r="32" spans="1:34" ht="23.85" customHeight="1" x14ac:dyDescent="0.25">
      <c r="A32" s="8" t="s">
        <v>192</v>
      </c>
      <c r="B32" s="8" t="s">
        <v>193</v>
      </c>
      <c r="C32" s="8" t="s">
        <v>138</v>
      </c>
      <c r="D32" s="8" t="s">
        <v>161</v>
      </c>
      <c r="E32" s="8" t="s">
        <v>128</v>
      </c>
      <c r="F32" s="16">
        <v>21414</v>
      </c>
      <c r="G32" s="16">
        <v>21413.54</v>
      </c>
      <c r="H32" s="13">
        <f t="shared" si="0"/>
        <v>21413.54</v>
      </c>
      <c r="I32" s="21">
        <v>1</v>
      </c>
      <c r="J32" s="21">
        <v>1</v>
      </c>
      <c r="K32" s="21">
        <v>1</v>
      </c>
      <c r="L32" s="8" t="s">
        <v>298</v>
      </c>
      <c r="M32" s="14">
        <f>Y32*Resumen!$C$6+AC32*Resumen!$C$7+AG32*Resumen!$C$9</f>
        <v>1</v>
      </c>
      <c r="N32" s="14">
        <f>Z32*Resumen!$C$6+AD32*Resumen!$C$7+AH32*Resumen!$C$9</f>
        <v>1</v>
      </c>
      <c r="O32" s="13">
        <f t="shared" si="1"/>
        <v>21413.54</v>
      </c>
      <c r="P32" s="13">
        <f t="shared" si="2"/>
        <v>21413.54</v>
      </c>
      <c r="Q32" s="21" t="s">
        <v>299</v>
      </c>
      <c r="R32" s="21" t="s">
        <v>299</v>
      </c>
      <c r="S32" s="21" t="s">
        <v>299</v>
      </c>
      <c r="T32" s="8" t="s">
        <v>302</v>
      </c>
      <c r="U32" s="13">
        <f>H32*((Q32="Oficial")*Resumen!$C$6+(R32="Oficial")*Resumen!$C$7+(S32="Oficial")*Resumen!$C$9)</f>
        <v>0</v>
      </c>
      <c r="V32" s="8" t="str">
        <f t="shared" si="3"/>
        <v>Con entregas verificadas</v>
      </c>
      <c r="W32" s="8" t="str">
        <f>IF(I32="",SUMPRODUCT(($I$5:$I$69="")*($H$5:$H$69&lt;H32))+SUMPRODUCT((I$5:I32="")*($H$5:H32=H32)),"")</f>
        <v/>
      </c>
      <c r="X32" s="8" t="str">
        <f>IF(I32="",SUMPRODUCT(($I$5:$I$69="")*($H$5:$H$69&gt;H32))+SUMPRODUCT((I$5:I32="")*($H$5:H32=H32)),"")</f>
        <v/>
      </c>
      <c r="Y32" s="8">
        <f t="shared" si="4"/>
        <v>1</v>
      </c>
      <c r="Z32" s="8">
        <f t="shared" si="5"/>
        <v>1</v>
      </c>
      <c r="AA32" s="8" t="str">
        <f>IF(J32="",SUMPRODUCT(($J$5:$J$69="")*($H$5:$H$69&lt;H32))+SUMPRODUCT((J$5:J32="")*($H$5:H32=H32)),"")</f>
        <v/>
      </c>
      <c r="AB32" s="8" t="str">
        <f>IF(J32="",SUMPRODUCT(($J$5:$J$69="")*($H$5:$H$69&gt;H32))+SUMPRODUCT((J$5:J32="")*($H$5:H32=H32)),"")</f>
        <v/>
      </c>
      <c r="AC32" s="8">
        <f t="shared" si="6"/>
        <v>1</v>
      </c>
      <c r="AD32" s="8">
        <f t="shared" si="7"/>
        <v>1</v>
      </c>
      <c r="AE32" s="8" t="str">
        <f>IF(K32="",SUMPRODUCT(($K$5:$K$69="")*($H$5:$H$69&lt;H32))+SUMPRODUCT((K$5:K32="")*($H$5:H32=H32)),"")</f>
        <v/>
      </c>
      <c r="AF32" s="8" t="str">
        <f>IF(K32="",SUMPRODUCT(($K$5:$K$69="")*($H$5:$H$69&gt;H32))+SUMPRODUCT((K$5:K32="")*($H$5:H32=H32)),"")</f>
        <v/>
      </c>
      <c r="AG32" s="8">
        <f t="shared" si="8"/>
        <v>1</v>
      </c>
      <c r="AH32" s="8">
        <f t="shared" si="9"/>
        <v>1</v>
      </c>
    </row>
    <row r="33" spans="1:34" ht="15" customHeight="1" x14ac:dyDescent="0.25">
      <c r="A33" s="8" t="s">
        <v>194</v>
      </c>
      <c r="B33" s="8" t="s">
        <v>195</v>
      </c>
      <c r="C33" s="8" t="s">
        <v>149</v>
      </c>
      <c r="D33" s="8" t="s">
        <v>161</v>
      </c>
      <c r="E33" s="8" t="s">
        <v>128</v>
      </c>
      <c r="F33" s="16">
        <v>142539</v>
      </c>
      <c r="H33" s="13">
        <f t="shared" si="0"/>
        <v>142539</v>
      </c>
      <c r="I33" s="26"/>
      <c r="J33" s="26"/>
      <c r="K33" s="26"/>
      <c r="L33" s="8" t="s">
        <v>304</v>
      </c>
      <c r="M33" s="14">
        <f>Y33*Resumen!$C$6+AC33*Resumen!$C$7+AG33*Resumen!$C$9</f>
        <v>0</v>
      </c>
      <c r="N33" s="14">
        <f>Z33*Resumen!$C$6+AD33*Resumen!$C$7+AH33*Resumen!$C$9</f>
        <v>1</v>
      </c>
      <c r="O33" s="13">
        <f t="shared" si="1"/>
        <v>0</v>
      </c>
      <c r="P33" s="13">
        <f t="shared" si="2"/>
        <v>142539</v>
      </c>
      <c r="Q33" s="27"/>
      <c r="R33" s="27"/>
      <c r="S33" s="27"/>
      <c r="T33" s="28"/>
      <c r="U33" s="13">
        <f>H33*((Q33="Oficial")*Resumen!$C$6+(R33="Oficial")*Resumen!$C$7+(S33="Oficial")*Resumen!$C$9)</f>
        <v>0</v>
      </c>
      <c r="V33" s="8" t="str">
        <f t="shared" si="3"/>
        <v>Sin evidencia municipal</v>
      </c>
      <c r="W33" s="8">
        <f>IF(I33="",SUMPRODUCT(($I$5:$I$69="")*($H$5:$H$69&lt;H33))+SUMPRODUCT((I$5:I33="")*($H$5:H33=H33)),"")</f>
        <v>42</v>
      </c>
      <c r="X33" s="8">
        <f>IF(I33="",SUMPRODUCT(($I$5:$I$69="")*($H$5:$H$69&gt;H33))+SUMPRODUCT((I$5:I33="")*($H$5:H33=H33)),"")</f>
        <v>7</v>
      </c>
      <c r="Y33" s="8">
        <f t="shared" si="4"/>
        <v>0</v>
      </c>
      <c r="Z33" s="8">
        <f t="shared" si="5"/>
        <v>1</v>
      </c>
      <c r="AA33" s="8">
        <f>IF(J33="",SUMPRODUCT(($J$5:$J$69="")*($H$5:$H$69&lt;H33))+SUMPRODUCT((J$5:J33="")*($H$5:H33=H33)),"")</f>
        <v>42</v>
      </c>
      <c r="AB33" s="8">
        <f>IF(J33="",SUMPRODUCT(($J$5:$J$69="")*($H$5:$H$69&gt;H33))+SUMPRODUCT((J$5:J33="")*($H$5:H33=H33)),"")</f>
        <v>7</v>
      </c>
      <c r="AC33" s="8">
        <f t="shared" si="6"/>
        <v>0</v>
      </c>
      <c r="AD33" s="8">
        <f t="shared" si="7"/>
        <v>1</v>
      </c>
      <c r="AE33" s="8">
        <f>IF(K33="",SUMPRODUCT(($K$5:$K$69="")*($H$5:$H$69&lt;H33))+SUMPRODUCT((K$5:K33="")*($H$5:H33=H33)),"")</f>
        <v>33</v>
      </c>
      <c r="AF33" s="8">
        <f>IF(K33="",SUMPRODUCT(($K$5:$K$69="")*($H$5:$H$69&gt;H33))+SUMPRODUCT((K$5:K33="")*($H$5:H33=H33)),"")</f>
        <v>7</v>
      </c>
      <c r="AG33" s="8">
        <f t="shared" si="8"/>
        <v>0</v>
      </c>
      <c r="AH33" s="8">
        <f t="shared" si="9"/>
        <v>1</v>
      </c>
    </row>
    <row r="34" spans="1:34" ht="15" customHeight="1" x14ac:dyDescent="0.25">
      <c r="A34" s="8" t="s">
        <v>196</v>
      </c>
      <c r="B34" s="8" t="s">
        <v>197</v>
      </c>
      <c r="C34" s="8" t="s">
        <v>149</v>
      </c>
      <c r="D34" s="8" t="s">
        <v>161</v>
      </c>
      <c r="E34" s="8" t="s">
        <v>128</v>
      </c>
      <c r="F34" s="16">
        <v>9349</v>
      </c>
      <c r="H34" s="13">
        <f t="shared" si="0"/>
        <v>9349</v>
      </c>
      <c r="I34" s="26"/>
      <c r="J34" s="26"/>
      <c r="K34" s="26"/>
      <c r="L34" s="8" t="s">
        <v>304</v>
      </c>
      <c r="M34" s="14">
        <f>Y34*Resumen!$C$6+AC34*Resumen!$C$7+AG34*Resumen!$C$9</f>
        <v>1</v>
      </c>
      <c r="N34" s="14">
        <f>Z34*Resumen!$C$6+AD34*Resumen!$C$7+AH34*Resumen!$C$9</f>
        <v>0</v>
      </c>
      <c r="O34" s="13">
        <f t="shared" si="1"/>
        <v>9349</v>
      </c>
      <c r="P34" s="13">
        <f t="shared" si="2"/>
        <v>0</v>
      </c>
      <c r="Q34" s="27"/>
      <c r="R34" s="27"/>
      <c r="S34" s="27"/>
      <c r="T34" s="28"/>
      <c r="U34" s="13">
        <f>H34*((Q34="Oficial")*Resumen!$C$6+(R34="Oficial")*Resumen!$C$7+(S34="Oficial")*Resumen!$C$9)</f>
        <v>0</v>
      </c>
      <c r="V34" s="8" t="str">
        <f t="shared" si="3"/>
        <v>Sin evidencia municipal</v>
      </c>
      <c r="W34" s="8">
        <f>IF(I34="",SUMPRODUCT(($I$5:$I$69="")*($H$5:$H$69&lt;H34))+SUMPRODUCT((I$5:I34="")*($H$5:H34=H34)),"")</f>
        <v>1</v>
      </c>
      <c r="X34" s="8">
        <f>IF(I34="",SUMPRODUCT(($I$5:$I$69="")*($H$5:$H$69&gt;H34))+SUMPRODUCT((I$5:I34="")*($H$5:H34=H34)),"")</f>
        <v>48</v>
      </c>
      <c r="Y34" s="8">
        <f t="shared" si="4"/>
        <v>1</v>
      </c>
      <c r="Z34" s="8">
        <f t="shared" si="5"/>
        <v>0</v>
      </c>
      <c r="AA34" s="8">
        <f>IF(J34="",SUMPRODUCT(($J$5:$J$69="")*($H$5:$H$69&lt;H34))+SUMPRODUCT((J$5:J34="")*($H$5:H34=H34)),"")</f>
        <v>1</v>
      </c>
      <c r="AB34" s="8">
        <f>IF(J34="",SUMPRODUCT(($J$5:$J$69="")*($H$5:$H$69&gt;H34))+SUMPRODUCT((J$5:J34="")*($H$5:H34=H34)),"")</f>
        <v>48</v>
      </c>
      <c r="AC34" s="8">
        <f t="shared" si="6"/>
        <v>1</v>
      </c>
      <c r="AD34" s="8">
        <f t="shared" si="7"/>
        <v>0</v>
      </c>
      <c r="AE34" s="8">
        <f>IF(K34="",SUMPRODUCT(($K$5:$K$69="")*($H$5:$H$69&lt;H34))+SUMPRODUCT((K$5:K34="")*($H$5:H34=H34)),"")</f>
        <v>1</v>
      </c>
      <c r="AF34" s="8">
        <f>IF(K34="",SUMPRODUCT(($K$5:$K$69="")*($H$5:$H$69&gt;H34))+SUMPRODUCT((K$5:K34="")*($H$5:H34=H34)),"")</f>
        <v>39</v>
      </c>
      <c r="AG34" s="8">
        <f t="shared" si="8"/>
        <v>1</v>
      </c>
      <c r="AH34" s="8">
        <f t="shared" si="9"/>
        <v>0</v>
      </c>
    </row>
    <row r="35" spans="1:34" ht="15" customHeight="1" x14ac:dyDescent="0.25">
      <c r="A35" s="8" t="s">
        <v>198</v>
      </c>
      <c r="B35" s="8" t="s">
        <v>199</v>
      </c>
      <c r="C35" s="8" t="s">
        <v>138</v>
      </c>
      <c r="D35" s="8" t="s">
        <v>161</v>
      </c>
      <c r="E35" s="8" t="s">
        <v>128</v>
      </c>
      <c r="F35" s="16">
        <v>11825</v>
      </c>
      <c r="H35" s="13">
        <f t="shared" si="0"/>
        <v>11825</v>
      </c>
      <c r="I35" s="26"/>
      <c r="J35" s="26"/>
      <c r="K35" s="26"/>
      <c r="L35" s="8" t="s">
        <v>304</v>
      </c>
      <c r="M35" s="14">
        <f>Y35*Resumen!$C$6+AC35*Resumen!$C$7+AG35*Resumen!$C$9</f>
        <v>1</v>
      </c>
      <c r="N35" s="14">
        <f>Z35*Resumen!$C$6+AD35*Resumen!$C$7+AH35*Resumen!$C$9</f>
        <v>0</v>
      </c>
      <c r="O35" s="13">
        <f t="shared" si="1"/>
        <v>11825</v>
      </c>
      <c r="P35" s="13">
        <f t="shared" si="2"/>
        <v>0</v>
      </c>
      <c r="Q35" s="27"/>
      <c r="R35" s="27"/>
      <c r="S35" s="27"/>
      <c r="T35" s="28"/>
      <c r="U35" s="13">
        <f>H35*((Q35="Oficial")*Resumen!$C$6+(R35="Oficial")*Resumen!$C$7+(S35="Oficial")*Resumen!$C$9)</f>
        <v>0</v>
      </c>
      <c r="V35" s="8" t="str">
        <f t="shared" si="3"/>
        <v>Sin evidencia municipal</v>
      </c>
      <c r="W35" s="8">
        <f>IF(I35="",SUMPRODUCT(($I$5:$I$69="")*($H$5:$H$69&lt;H35))+SUMPRODUCT((I$5:I35="")*($H$5:H35=H35)),"")</f>
        <v>3</v>
      </c>
      <c r="X35" s="8">
        <f>IF(I35="",SUMPRODUCT(($I$5:$I$69="")*($H$5:$H$69&gt;H35))+SUMPRODUCT((I$5:I35="")*($H$5:H35=H35)),"")</f>
        <v>46</v>
      </c>
      <c r="Y35" s="8">
        <f t="shared" si="4"/>
        <v>1</v>
      </c>
      <c r="Z35" s="8">
        <f t="shared" si="5"/>
        <v>0</v>
      </c>
      <c r="AA35" s="8">
        <f>IF(J35="",SUMPRODUCT(($J$5:$J$69="")*($H$5:$H$69&lt;H35))+SUMPRODUCT((J$5:J35="")*($H$5:H35=H35)),"")</f>
        <v>3</v>
      </c>
      <c r="AB35" s="8">
        <f>IF(J35="",SUMPRODUCT(($J$5:$J$69="")*($H$5:$H$69&gt;H35))+SUMPRODUCT((J$5:J35="")*($H$5:H35=H35)),"")</f>
        <v>46</v>
      </c>
      <c r="AC35" s="8">
        <f t="shared" si="6"/>
        <v>1</v>
      </c>
      <c r="AD35" s="8">
        <f t="shared" si="7"/>
        <v>0</v>
      </c>
      <c r="AE35" s="8">
        <f>IF(K35="",SUMPRODUCT(($K$5:$K$69="")*($H$5:$H$69&lt;H35))+SUMPRODUCT((K$5:K35="")*($H$5:H35=H35)),"")</f>
        <v>2</v>
      </c>
      <c r="AF35" s="8">
        <f>IF(K35="",SUMPRODUCT(($K$5:$K$69="")*($H$5:$H$69&gt;H35))+SUMPRODUCT((K$5:K35="")*($H$5:H35=H35)),"")</f>
        <v>38</v>
      </c>
      <c r="AG35" s="8">
        <f t="shared" si="8"/>
        <v>1</v>
      </c>
      <c r="AH35" s="8">
        <f t="shared" si="9"/>
        <v>0</v>
      </c>
    </row>
    <row r="36" spans="1:34" ht="15" customHeight="1" x14ac:dyDescent="0.25">
      <c r="A36" s="8" t="s">
        <v>200</v>
      </c>
      <c r="B36" s="8" t="s">
        <v>201</v>
      </c>
      <c r="C36" s="8" t="s">
        <v>149</v>
      </c>
      <c r="D36" s="8" t="s">
        <v>161</v>
      </c>
      <c r="E36" s="8" t="s">
        <v>128</v>
      </c>
      <c r="F36" s="16">
        <v>11493</v>
      </c>
      <c r="H36" s="13">
        <f t="shared" si="0"/>
        <v>11493</v>
      </c>
      <c r="I36" s="26"/>
      <c r="J36" s="26"/>
      <c r="K36" s="21">
        <v>0</v>
      </c>
      <c r="L36" s="8" t="s">
        <v>301</v>
      </c>
      <c r="M36" s="14">
        <f>Y36*Resumen!$C$6+AC36*Resumen!$C$7+AG36*Resumen!$C$9</f>
        <v>0.9</v>
      </c>
      <c r="N36" s="14">
        <f>Z36*Resumen!$C$6+AD36*Resumen!$C$7+AH36*Resumen!$C$9</f>
        <v>0</v>
      </c>
      <c r="O36" s="13">
        <f t="shared" si="1"/>
        <v>10343.700000000001</v>
      </c>
      <c r="P36" s="13">
        <f t="shared" si="2"/>
        <v>0</v>
      </c>
      <c r="Q36" s="27"/>
      <c r="R36" s="27"/>
      <c r="S36" s="27"/>
      <c r="T36" s="28"/>
      <c r="U36" s="13">
        <f>H36*((Q36="Oficial")*Resumen!$C$6+(R36="Oficial")*Resumen!$C$7+(S36="Oficial")*Resumen!$C$9)</f>
        <v>0</v>
      </c>
      <c r="V36" s="8" t="str">
        <f t="shared" si="3"/>
        <v>Sin evidencia municipal</v>
      </c>
      <c r="W36" s="8">
        <f>IF(I36="",SUMPRODUCT(($I$5:$I$69="")*($H$5:$H$69&lt;H36))+SUMPRODUCT((I$5:I36="")*($H$5:H36=H36)),"")</f>
        <v>2</v>
      </c>
      <c r="X36" s="8">
        <f>IF(I36="",SUMPRODUCT(($I$5:$I$69="")*($H$5:$H$69&gt;H36))+SUMPRODUCT((I$5:I36="")*($H$5:H36=H36)),"")</f>
        <v>47</v>
      </c>
      <c r="Y36" s="8">
        <f t="shared" si="4"/>
        <v>1</v>
      </c>
      <c r="Z36" s="8">
        <f t="shared" si="5"/>
        <v>0</v>
      </c>
      <c r="AA36" s="8">
        <f>IF(J36="",SUMPRODUCT(($J$5:$J$69="")*($H$5:$H$69&lt;H36))+SUMPRODUCT((J$5:J36="")*($H$5:H36=H36)),"")</f>
        <v>2</v>
      </c>
      <c r="AB36" s="8">
        <f>IF(J36="",SUMPRODUCT(($J$5:$J$69="")*($H$5:$H$69&gt;H36))+SUMPRODUCT((J$5:J36="")*($H$5:H36=H36)),"")</f>
        <v>47</v>
      </c>
      <c r="AC36" s="8">
        <f t="shared" si="6"/>
        <v>1</v>
      </c>
      <c r="AD36" s="8">
        <f t="shared" si="7"/>
        <v>0</v>
      </c>
      <c r="AE36" s="8" t="str">
        <f>IF(K36="",SUMPRODUCT(($K$5:$K$69="")*($H$5:$H$69&lt;H36))+SUMPRODUCT((K$5:K36="")*($H$5:H36=H36)),"")</f>
        <v/>
      </c>
      <c r="AF36" s="8" t="str">
        <f>IF(K36="",SUMPRODUCT(($K$5:$K$69="")*($H$5:$H$69&gt;H36))+SUMPRODUCT((K$5:K36="")*($H$5:H36=H36)),"")</f>
        <v/>
      </c>
      <c r="AG36" s="8">
        <f t="shared" si="8"/>
        <v>0</v>
      </c>
      <c r="AH36" s="8">
        <f t="shared" si="9"/>
        <v>0</v>
      </c>
    </row>
    <row r="37" spans="1:34" ht="15" customHeight="1" x14ac:dyDescent="0.25">
      <c r="A37" s="8" t="s">
        <v>202</v>
      </c>
      <c r="B37" s="8" t="s">
        <v>203</v>
      </c>
      <c r="C37" s="8" t="s">
        <v>149</v>
      </c>
      <c r="D37" s="8" t="s">
        <v>161</v>
      </c>
      <c r="E37" s="8" t="s">
        <v>128</v>
      </c>
      <c r="F37" s="16">
        <v>21639</v>
      </c>
      <c r="H37" s="13">
        <f t="shared" ref="H37:H68" si="10">IF(G37="",F37,G37)</f>
        <v>21639</v>
      </c>
      <c r="I37" s="26"/>
      <c r="J37" s="26"/>
      <c r="K37" s="21">
        <v>0</v>
      </c>
      <c r="L37" s="8" t="s">
        <v>301</v>
      </c>
      <c r="M37" s="14">
        <f>Y37*Resumen!$C$6+AC37*Resumen!$C$7+AG37*Resumen!$C$9</f>
        <v>0.9</v>
      </c>
      <c r="N37" s="14">
        <f>Z37*Resumen!$C$6+AD37*Resumen!$C$7+AH37*Resumen!$C$9</f>
        <v>0</v>
      </c>
      <c r="O37" s="13">
        <f t="shared" ref="O37:O69" si="11">H37*M37</f>
        <v>19475.100000000002</v>
      </c>
      <c r="P37" s="13">
        <f t="shared" ref="P37:P69" si="12">H37*N37</f>
        <v>0</v>
      </c>
      <c r="Q37" s="27"/>
      <c r="R37" s="27"/>
      <c r="S37" s="27"/>
      <c r="T37" s="28"/>
      <c r="U37" s="13">
        <f>H37*((Q37="Oficial")*Resumen!$C$6+(R37="Oficial")*Resumen!$C$7+(S37="Oficial")*Resumen!$C$9)</f>
        <v>0</v>
      </c>
      <c r="V37" s="8" t="str">
        <f t="shared" ref="V37:V69" si="13">IF(COUNTIF(I37:K37,1)&gt;0,"Con entregas verificadas",IF(COUNTBLANK(I37:K37)&gt;0,"Sin evidencia municipal","Sin entregas"))</f>
        <v>Sin evidencia municipal</v>
      </c>
      <c r="W37" s="8">
        <f>IF(I37="",SUMPRODUCT(($I$5:$I$69="")*($H$5:$H$69&lt;H37))+SUMPRODUCT((I$5:I37="")*($H$5:H37=H37)),"")</f>
        <v>9</v>
      </c>
      <c r="X37" s="8">
        <f>IF(I37="",SUMPRODUCT(($I$5:$I$69="")*($H$5:$H$69&gt;H37))+SUMPRODUCT((I$5:I37="")*($H$5:H37=H37)),"")</f>
        <v>40</v>
      </c>
      <c r="Y37" s="8">
        <f t="shared" ref="Y37:Y69" si="14">IF(I37="",IF(W37&lt;=$I$73,1,0),I37)</f>
        <v>1</v>
      </c>
      <c r="Z37" s="8">
        <f t="shared" ref="Z37:Z69" si="15">IF(I37="",IF(X37&lt;=$I$73,1,0),I37)</f>
        <v>0</v>
      </c>
      <c r="AA37" s="8">
        <f>IF(J37="",SUMPRODUCT(($J$5:$J$69="")*($H$5:$H$69&lt;H37))+SUMPRODUCT((J$5:J37="")*($H$5:H37=H37)),"")</f>
        <v>9</v>
      </c>
      <c r="AB37" s="8">
        <f>IF(J37="",SUMPRODUCT(($J$5:$J$69="")*($H$5:$H$69&gt;H37))+SUMPRODUCT((J$5:J37="")*($H$5:H37=H37)),"")</f>
        <v>40</v>
      </c>
      <c r="AC37" s="8">
        <f t="shared" ref="AC37:AC69" si="16">IF(J37="",IF(AA37&lt;=$J$73,1,0),J37)</f>
        <v>1</v>
      </c>
      <c r="AD37" s="8">
        <f t="shared" ref="AD37:AD69" si="17">IF(J37="",IF(AB37&lt;=$J$73,1,0),J37)</f>
        <v>0</v>
      </c>
      <c r="AE37" s="8" t="str">
        <f>IF(K37="",SUMPRODUCT(($K$5:$K$69="")*($H$5:$H$69&lt;H37))+SUMPRODUCT((K$5:K37="")*($H$5:H37=H37)),"")</f>
        <v/>
      </c>
      <c r="AF37" s="8" t="str">
        <f>IF(K37="",SUMPRODUCT(($K$5:$K$69="")*($H$5:$H$69&gt;H37))+SUMPRODUCT((K$5:K37="")*($H$5:H37=H37)),"")</f>
        <v/>
      </c>
      <c r="AG37" s="8">
        <f t="shared" ref="AG37:AG69" si="18">IF(K37="",IF(AE37&lt;=$K$73,1,0),K37)</f>
        <v>0</v>
      </c>
      <c r="AH37" s="8">
        <f t="shared" ref="AH37:AH69" si="19">IF(K37="",IF(AF37&lt;=$K$73,1,0),K37)</f>
        <v>0</v>
      </c>
    </row>
    <row r="38" spans="1:34" ht="15" customHeight="1" x14ac:dyDescent="0.25">
      <c r="A38" s="8" t="s">
        <v>204</v>
      </c>
      <c r="B38" s="8" t="s">
        <v>205</v>
      </c>
      <c r="C38" s="8" t="s">
        <v>177</v>
      </c>
      <c r="D38" s="8" t="s">
        <v>161</v>
      </c>
      <c r="E38" s="8" t="s">
        <v>128</v>
      </c>
      <c r="F38" s="16">
        <v>45529</v>
      </c>
      <c r="H38" s="13">
        <f t="shared" si="10"/>
        <v>45529</v>
      </c>
      <c r="I38" s="26"/>
      <c r="J38" s="26"/>
      <c r="K38" s="26"/>
      <c r="L38" s="8" t="s">
        <v>304</v>
      </c>
      <c r="M38" s="14">
        <f>Y38*Resumen!$C$6+AC38*Resumen!$C$7+AG38*Resumen!$C$9</f>
        <v>0.9</v>
      </c>
      <c r="N38" s="14">
        <f>Z38*Resumen!$C$6+AD38*Resumen!$C$7+AH38*Resumen!$C$9</f>
        <v>0.9</v>
      </c>
      <c r="O38" s="13">
        <f t="shared" si="11"/>
        <v>40976.1</v>
      </c>
      <c r="P38" s="13">
        <f t="shared" si="12"/>
        <v>40976.1</v>
      </c>
      <c r="Q38" s="27"/>
      <c r="R38" s="27"/>
      <c r="S38" s="27"/>
      <c r="T38" s="28"/>
      <c r="U38" s="13">
        <f>H38*((Q38="Oficial")*Resumen!$C$6+(R38="Oficial")*Resumen!$C$7+(S38="Oficial")*Resumen!$C$9)</f>
        <v>0</v>
      </c>
      <c r="V38" s="8" t="str">
        <f t="shared" si="13"/>
        <v>Sin evidencia municipal</v>
      </c>
      <c r="W38" s="8">
        <f>IF(I38="",SUMPRODUCT(($I$5:$I$69="")*($H$5:$H$69&lt;H38))+SUMPRODUCT((I$5:I38="")*($H$5:H38=H38)),"")</f>
        <v>28</v>
      </c>
      <c r="X38" s="8">
        <f>IF(I38="",SUMPRODUCT(($I$5:$I$69="")*($H$5:$H$69&gt;H38))+SUMPRODUCT((I$5:I38="")*($H$5:H38=H38)),"")</f>
        <v>21</v>
      </c>
      <c r="Y38" s="8">
        <f t="shared" si="14"/>
        <v>1</v>
      </c>
      <c r="Z38" s="8">
        <f t="shared" si="15"/>
        <v>1</v>
      </c>
      <c r="AA38" s="8">
        <f>IF(J38="",SUMPRODUCT(($J$5:$J$69="")*($H$5:$H$69&lt;H38))+SUMPRODUCT((J$5:J38="")*($H$5:H38=H38)),"")</f>
        <v>29</v>
      </c>
      <c r="AB38" s="8">
        <f>IF(J38="",SUMPRODUCT(($J$5:$J$69="")*($H$5:$H$69&gt;H38))+SUMPRODUCT((J$5:J38="")*($H$5:H38=H38)),"")</f>
        <v>20</v>
      </c>
      <c r="AC38" s="8">
        <f t="shared" si="16"/>
        <v>1</v>
      </c>
      <c r="AD38" s="8">
        <f t="shared" si="17"/>
        <v>1</v>
      </c>
      <c r="AE38" s="8">
        <f>IF(K38="",SUMPRODUCT(($K$5:$K$69="")*($H$5:$H$69&lt;H38))+SUMPRODUCT((K$5:K38="")*($H$5:H38=H38)),"")</f>
        <v>19</v>
      </c>
      <c r="AF38" s="8">
        <f>IF(K38="",SUMPRODUCT(($K$5:$K$69="")*($H$5:$H$69&gt;H38))+SUMPRODUCT((K$5:K38="")*($H$5:H38=H38)),"")</f>
        <v>21</v>
      </c>
      <c r="AG38" s="8">
        <f t="shared" si="18"/>
        <v>0</v>
      </c>
      <c r="AH38" s="8">
        <f t="shared" si="19"/>
        <v>0</v>
      </c>
    </row>
    <row r="39" spans="1:34" ht="15" customHeight="1" x14ac:dyDescent="0.25">
      <c r="A39" s="8" t="s">
        <v>206</v>
      </c>
      <c r="B39" s="8" t="s">
        <v>207</v>
      </c>
      <c r="C39" s="8" t="s">
        <v>185</v>
      </c>
      <c r="D39" s="8" t="s">
        <v>161</v>
      </c>
      <c r="E39" s="8" t="s">
        <v>128</v>
      </c>
      <c r="F39" s="16">
        <v>109140</v>
      </c>
      <c r="H39" s="13">
        <f t="shared" si="10"/>
        <v>109140</v>
      </c>
      <c r="I39" s="26"/>
      <c r="J39" s="26"/>
      <c r="K39" s="26"/>
      <c r="L39" s="8" t="s">
        <v>304</v>
      </c>
      <c r="M39" s="14">
        <f>Y39*Resumen!$C$6+AC39*Resumen!$C$7+AG39*Resumen!$C$9</f>
        <v>0</v>
      </c>
      <c r="N39" s="14">
        <f>Z39*Resumen!$C$6+AD39*Resumen!$C$7+AH39*Resumen!$C$9</f>
        <v>1</v>
      </c>
      <c r="O39" s="13">
        <f t="shared" si="11"/>
        <v>0</v>
      </c>
      <c r="P39" s="13">
        <f t="shared" si="12"/>
        <v>109140</v>
      </c>
      <c r="Q39" s="27"/>
      <c r="R39" s="27"/>
      <c r="S39" s="27"/>
      <c r="T39" s="28"/>
      <c r="U39" s="13">
        <f>H39*((Q39="Oficial")*Resumen!$C$6+(R39="Oficial")*Resumen!$C$7+(S39="Oficial")*Resumen!$C$9)</f>
        <v>0</v>
      </c>
      <c r="V39" s="8" t="str">
        <f t="shared" si="13"/>
        <v>Sin evidencia municipal</v>
      </c>
      <c r="W39" s="8">
        <f>IF(I39="",SUMPRODUCT(($I$5:$I$69="")*($H$5:$H$69&lt;H39))+SUMPRODUCT((I$5:I39="")*($H$5:H39=H39)),"")</f>
        <v>37</v>
      </c>
      <c r="X39" s="8">
        <f>IF(I39="",SUMPRODUCT(($I$5:$I$69="")*($H$5:$H$69&gt;H39))+SUMPRODUCT((I$5:I39="")*($H$5:H39=H39)),"")</f>
        <v>12</v>
      </c>
      <c r="Y39" s="8">
        <f t="shared" si="14"/>
        <v>0</v>
      </c>
      <c r="Z39" s="8">
        <f t="shared" si="15"/>
        <v>1</v>
      </c>
      <c r="AA39" s="8">
        <f>IF(J39="",SUMPRODUCT(($J$5:$J$69="")*($H$5:$H$69&lt;H39))+SUMPRODUCT((J$5:J39="")*($H$5:H39=H39)),"")</f>
        <v>37</v>
      </c>
      <c r="AB39" s="8">
        <f>IF(J39="",SUMPRODUCT(($J$5:$J$69="")*($H$5:$H$69&gt;H39))+SUMPRODUCT((J$5:J39="")*($H$5:H39=H39)),"")</f>
        <v>12</v>
      </c>
      <c r="AC39" s="8">
        <f t="shared" si="16"/>
        <v>0</v>
      </c>
      <c r="AD39" s="8">
        <f t="shared" si="17"/>
        <v>1</v>
      </c>
      <c r="AE39" s="8">
        <f>IF(K39="",SUMPRODUCT(($K$5:$K$69="")*($H$5:$H$69&lt;H39))+SUMPRODUCT((K$5:K39="")*($H$5:H39=H39)),"")</f>
        <v>27</v>
      </c>
      <c r="AF39" s="8">
        <f>IF(K39="",SUMPRODUCT(($K$5:$K$69="")*($H$5:$H$69&gt;H39))+SUMPRODUCT((K$5:K39="")*($H$5:H39=H39)),"")</f>
        <v>13</v>
      </c>
      <c r="AG39" s="8">
        <f t="shared" si="18"/>
        <v>0</v>
      </c>
      <c r="AH39" s="8">
        <f t="shared" si="19"/>
        <v>1</v>
      </c>
    </row>
    <row r="40" spans="1:34" ht="23.85" customHeight="1" x14ac:dyDescent="0.25">
      <c r="A40" s="8" t="s">
        <v>208</v>
      </c>
      <c r="B40" s="8" t="s">
        <v>209</v>
      </c>
      <c r="C40" s="8" t="s">
        <v>185</v>
      </c>
      <c r="D40" s="8" t="s">
        <v>161</v>
      </c>
      <c r="E40" s="8" t="s">
        <v>128</v>
      </c>
      <c r="F40" s="16">
        <v>126064</v>
      </c>
      <c r="G40" s="16">
        <v>126063.91</v>
      </c>
      <c r="H40" s="13">
        <f t="shared" si="10"/>
        <v>126063.91</v>
      </c>
      <c r="I40" s="21">
        <v>1</v>
      </c>
      <c r="J40" s="21">
        <v>1</v>
      </c>
      <c r="K40" s="26"/>
      <c r="L40" s="8" t="s">
        <v>310</v>
      </c>
      <c r="M40" s="14">
        <f>Y40*Resumen!$C$6+AC40*Resumen!$C$7+AG40*Resumen!$C$9</f>
        <v>0.9</v>
      </c>
      <c r="N40" s="14">
        <f>Z40*Resumen!$C$6+AD40*Resumen!$C$7+AH40*Resumen!$C$9</f>
        <v>1</v>
      </c>
      <c r="O40" s="13">
        <f t="shared" si="11"/>
        <v>113457.519</v>
      </c>
      <c r="P40" s="13">
        <f t="shared" si="12"/>
        <v>126063.91</v>
      </c>
      <c r="Q40" s="21" t="s">
        <v>299</v>
      </c>
      <c r="R40" s="21" t="s">
        <v>299</v>
      </c>
      <c r="S40" s="27"/>
      <c r="T40" s="8" t="s">
        <v>302</v>
      </c>
      <c r="U40" s="13">
        <f>H40*((Q40="Oficial")*Resumen!$C$6+(R40="Oficial")*Resumen!$C$7+(S40="Oficial")*Resumen!$C$9)</f>
        <v>0</v>
      </c>
      <c r="V40" s="8" t="str">
        <f t="shared" si="13"/>
        <v>Con entregas verificadas</v>
      </c>
      <c r="W40" s="8" t="str">
        <f>IF(I40="",SUMPRODUCT(($I$5:$I$69="")*($H$5:$H$69&lt;H40))+SUMPRODUCT((I$5:I40="")*($H$5:H40=H40)),"")</f>
        <v/>
      </c>
      <c r="X40" s="8" t="str">
        <f>IF(I40="",SUMPRODUCT(($I$5:$I$69="")*($H$5:$H$69&gt;H40))+SUMPRODUCT((I$5:I40="")*($H$5:H40=H40)),"")</f>
        <v/>
      </c>
      <c r="Y40" s="8">
        <f t="shared" si="14"/>
        <v>1</v>
      </c>
      <c r="Z40" s="8">
        <f t="shared" si="15"/>
        <v>1</v>
      </c>
      <c r="AA40" s="8" t="str">
        <f>IF(J40="",SUMPRODUCT(($J$5:$J$69="")*($H$5:$H$69&lt;H40))+SUMPRODUCT((J$5:J40="")*($H$5:H40=H40)),"")</f>
        <v/>
      </c>
      <c r="AB40" s="8" t="str">
        <f>IF(J40="",SUMPRODUCT(($J$5:$J$69="")*($H$5:$H$69&gt;H40))+SUMPRODUCT((J$5:J40="")*($H$5:H40=H40)),"")</f>
        <v/>
      </c>
      <c r="AC40" s="8">
        <f t="shared" si="16"/>
        <v>1</v>
      </c>
      <c r="AD40" s="8">
        <f t="shared" si="17"/>
        <v>1</v>
      </c>
      <c r="AE40" s="8">
        <f>IF(K40="",SUMPRODUCT(($K$5:$K$69="")*($H$5:$H$69&lt;H40))+SUMPRODUCT((K$5:K40="")*($H$5:H40=H40)),"")</f>
        <v>29</v>
      </c>
      <c r="AF40" s="8">
        <f>IF(K40="",SUMPRODUCT(($K$5:$K$69="")*($H$5:$H$69&gt;H40))+SUMPRODUCT((K$5:K40="")*($H$5:H40=H40)),"")</f>
        <v>11</v>
      </c>
      <c r="AG40" s="8">
        <f t="shared" si="18"/>
        <v>0</v>
      </c>
      <c r="AH40" s="8">
        <f t="shared" si="19"/>
        <v>1</v>
      </c>
    </row>
    <row r="41" spans="1:34" ht="23.85" customHeight="1" x14ac:dyDescent="0.25">
      <c r="A41" s="8" t="s">
        <v>210</v>
      </c>
      <c r="B41" s="8" t="s">
        <v>211</v>
      </c>
      <c r="C41" s="8" t="s">
        <v>149</v>
      </c>
      <c r="D41" s="8" t="s">
        <v>161</v>
      </c>
      <c r="E41" s="8" t="s">
        <v>128</v>
      </c>
      <c r="F41" s="16">
        <v>9952</v>
      </c>
      <c r="G41" s="16">
        <v>9952.2000000000007</v>
      </c>
      <c r="H41" s="13">
        <f t="shared" si="10"/>
        <v>9952.2000000000007</v>
      </c>
      <c r="I41" s="21">
        <v>1</v>
      </c>
      <c r="J41" s="21">
        <v>1</v>
      </c>
      <c r="K41" s="21">
        <v>1</v>
      </c>
      <c r="L41" s="8" t="s">
        <v>298</v>
      </c>
      <c r="M41" s="14">
        <f>Y41*Resumen!$C$6+AC41*Resumen!$C$7+AG41*Resumen!$C$9</f>
        <v>1</v>
      </c>
      <c r="N41" s="14">
        <f>Z41*Resumen!$C$6+AD41*Resumen!$C$7+AH41*Resumen!$C$9</f>
        <v>1</v>
      </c>
      <c r="O41" s="13">
        <f t="shared" si="11"/>
        <v>9952.2000000000007</v>
      </c>
      <c r="P41" s="13">
        <f t="shared" si="12"/>
        <v>9952.2000000000007</v>
      </c>
      <c r="Q41" s="21" t="s">
        <v>299</v>
      </c>
      <c r="R41" s="21" t="s">
        <v>299</v>
      </c>
      <c r="S41" s="21" t="s">
        <v>299</v>
      </c>
      <c r="T41" s="8" t="s">
        <v>302</v>
      </c>
      <c r="U41" s="13">
        <f>H41*((Q41="Oficial")*Resumen!$C$6+(R41="Oficial")*Resumen!$C$7+(S41="Oficial")*Resumen!$C$9)</f>
        <v>0</v>
      </c>
      <c r="V41" s="8" t="str">
        <f t="shared" si="13"/>
        <v>Con entregas verificadas</v>
      </c>
      <c r="W41" s="8" t="str">
        <f>IF(I41="",SUMPRODUCT(($I$5:$I$69="")*($H$5:$H$69&lt;H41))+SUMPRODUCT((I$5:I41="")*($H$5:H41=H41)),"")</f>
        <v/>
      </c>
      <c r="X41" s="8" t="str">
        <f>IF(I41="",SUMPRODUCT(($I$5:$I$69="")*($H$5:$H$69&gt;H41))+SUMPRODUCT((I$5:I41="")*($H$5:H41=H41)),"")</f>
        <v/>
      </c>
      <c r="Y41" s="8">
        <f t="shared" si="14"/>
        <v>1</v>
      </c>
      <c r="Z41" s="8">
        <f t="shared" si="15"/>
        <v>1</v>
      </c>
      <c r="AA41" s="8" t="str">
        <f>IF(J41="",SUMPRODUCT(($J$5:$J$69="")*($H$5:$H$69&lt;H41))+SUMPRODUCT((J$5:J41="")*($H$5:H41=H41)),"")</f>
        <v/>
      </c>
      <c r="AB41" s="8" t="str">
        <f>IF(J41="",SUMPRODUCT(($J$5:$J$69="")*($H$5:$H$69&gt;H41))+SUMPRODUCT((J$5:J41="")*($H$5:H41=H41)),"")</f>
        <v/>
      </c>
      <c r="AC41" s="8">
        <f t="shared" si="16"/>
        <v>1</v>
      </c>
      <c r="AD41" s="8">
        <f t="shared" si="17"/>
        <v>1</v>
      </c>
      <c r="AE41" s="8" t="str">
        <f>IF(K41="",SUMPRODUCT(($K$5:$K$69="")*($H$5:$H$69&lt;H41))+SUMPRODUCT((K$5:K41="")*($H$5:H41=H41)),"")</f>
        <v/>
      </c>
      <c r="AF41" s="8" t="str">
        <f>IF(K41="",SUMPRODUCT(($K$5:$K$69="")*($H$5:$H$69&gt;H41))+SUMPRODUCT((K$5:K41="")*($H$5:H41=H41)),"")</f>
        <v/>
      </c>
      <c r="AG41" s="8">
        <f t="shared" si="18"/>
        <v>1</v>
      </c>
      <c r="AH41" s="8">
        <f t="shared" si="19"/>
        <v>1</v>
      </c>
    </row>
    <row r="42" spans="1:34" ht="15" customHeight="1" x14ac:dyDescent="0.25">
      <c r="A42" s="8" t="s">
        <v>212</v>
      </c>
      <c r="B42" s="8" t="s">
        <v>213</v>
      </c>
      <c r="C42" s="8" t="s">
        <v>149</v>
      </c>
      <c r="D42" s="8" t="s">
        <v>161</v>
      </c>
      <c r="E42" s="8" t="s">
        <v>128</v>
      </c>
      <c r="F42" s="16">
        <v>43404</v>
      </c>
      <c r="H42" s="13">
        <f t="shared" si="10"/>
        <v>43404</v>
      </c>
      <c r="I42" s="26"/>
      <c r="J42" s="26"/>
      <c r="K42" s="26"/>
      <c r="L42" s="8" t="s">
        <v>304</v>
      </c>
      <c r="M42" s="14">
        <f>Y42*Resumen!$C$6+AC42*Resumen!$C$7+AG42*Resumen!$C$9</f>
        <v>0.9</v>
      </c>
      <c r="N42" s="14">
        <f>Z42*Resumen!$C$6+AD42*Resumen!$C$7+AH42*Resumen!$C$9</f>
        <v>0.9</v>
      </c>
      <c r="O42" s="13">
        <f t="shared" si="11"/>
        <v>39063.599999999999</v>
      </c>
      <c r="P42" s="13">
        <f t="shared" si="12"/>
        <v>39063.599999999999</v>
      </c>
      <c r="Q42" s="27"/>
      <c r="R42" s="27"/>
      <c r="S42" s="27"/>
      <c r="T42" s="28"/>
      <c r="U42" s="13">
        <f>H42*((Q42="Oficial")*Resumen!$C$6+(R42="Oficial")*Resumen!$C$7+(S42="Oficial")*Resumen!$C$9)</f>
        <v>0</v>
      </c>
      <c r="V42" s="8" t="str">
        <f t="shared" si="13"/>
        <v>Sin evidencia municipal</v>
      </c>
      <c r="W42" s="8">
        <f>IF(I42="",SUMPRODUCT(($I$5:$I$69="")*($H$5:$H$69&lt;H42))+SUMPRODUCT((I$5:I42="")*($H$5:H42=H42)),"")</f>
        <v>26</v>
      </c>
      <c r="X42" s="8">
        <f>IF(I42="",SUMPRODUCT(($I$5:$I$69="")*($H$5:$H$69&gt;H42))+SUMPRODUCT((I$5:I42="")*($H$5:H42=H42)),"")</f>
        <v>23</v>
      </c>
      <c r="Y42" s="8">
        <f t="shared" si="14"/>
        <v>1</v>
      </c>
      <c r="Z42" s="8">
        <f t="shared" si="15"/>
        <v>1</v>
      </c>
      <c r="AA42" s="8">
        <f>IF(J42="",SUMPRODUCT(($J$5:$J$69="")*($H$5:$H$69&lt;H42))+SUMPRODUCT((J$5:J42="")*($H$5:H42=H42)),"")</f>
        <v>27</v>
      </c>
      <c r="AB42" s="8">
        <f>IF(J42="",SUMPRODUCT(($J$5:$J$69="")*($H$5:$H$69&gt;H42))+SUMPRODUCT((J$5:J42="")*($H$5:H42=H42)),"")</f>
        <v>22</v>
      </c>
      <c r="AC42" s="8">
        <f t="shared" si="16"/>
        <v>1</v>
      </c>
      <c r="AD42" s="8">
        <f t="shared" si="17"/>
        <v>1</v>
      </c>
      <c r="AE42" s="8">
        <f>IF(K42="",SUMPRODUCT(($K$5:$K$69="")*($H$5:$H$69&lt;H42))+SUMPRODUCT((K$5:K42="")*($H$5:H42=H42)),"")</f>
        <v>17</v>
      </c>
      <c r="AF42" s="8">
        <f>IF(K42="",SUMPRODUCT(($K$5:$K$69="")*($H$5:$H$69&gt;H42))+SUMPRODUCT((K$5:K42="")*($H$5:H42=H42)),"")</f>
        <v>23</v>
      </c>
      <c r="AG42" s="8">
        <f t="shared" si="18"/>
        <v>0</v>
      </c>
      <c r="AH42" s="8">
        <f t="shared" si="19"/>
        <v>0</v>
      </c>
    </row>
    <row r="43" spans="1:34" ht="23.85" customHeight="1" x14ac:dyDescent="0.25">
      <c r="A43" s="8" t="s">
        <v>214</v>
      </c>
      <c r="B43" s="8" t="s">
        <v>215</v>
      </c>
      <c r="C43" s="8" t="s">
        <v>177</v>
      </c>
      <c r="D43" s="8" t="s">
        <v>161</v>
      </c>
      <c r="E43" s="8" t="s">
        <v>128</v>
      </c>
      <c r="F43" s="16">
        <v>121893</v>
      </c>
      <c r="G43" s="16">
        <v>121893.16</v>
      </c>
      <c r="H43" s="13">
        <f t="shared" si="10"/>
        <v>121893.16</v>
      </c>
      <c r="I43" s="21">
        <v>1</v>
      </c>
      <c r="J43" s="21">
        <v>1</v>
      </c>
      <c r="K43" s="21">
        <v>1</v>
      </c>
      <c r="L43" s="8" t="s">
        <v>298</v>
      </c>
      <c r="M43" s="14">
        <f>Y43*Resumen!$C$6+AC43*Resumen!$C$7+AG43*Resumen!$C$9</f>
        <v>1</v>
      </c>
      <c r="N43" s="14">
        <f>Z43*Resumen!$C$6+AD43*Resumen!$C$7+AH43*Resumen!$C$9</f>
        <v>1</v>
      </c>
      <c r="O43" s="13">
        <f t="shared" si="11"/>
        <v>121893.16</v>
      </c>
      <c r="P43" s="13">
        <f t="shared" si="12"/>
        <v>121893.16</v>
      </c>
      <c r="Q43" s="21" t="s">
        <v>299</v>
      </c>
      <c r="R43" s="27"/>
      <c r="S43" s="21" t="s">
        <v>299</v>
      </c>
      <c r="T43" s="8" t="s">
        <v>311</v>
      </c>
      <c r="U43" s="13">
        <f>H43*((Q43="Oficial")*Resumen!$C$6+(R43="Oficial")*Resumen!$C$7+(S43="Oficial")*Resumen!$C$9)</f>
        <v>0</v>
      </c>
      <c r="V43" s="8" t="str">
        <f t="shared" si="13"/>
        <v>Con entregas verificadas</v>
      </c>
      <c r="W43" s="8" t="str">
        <f>IF(I43="",SUMPRODUCT(($I$5:$I$69="")*($H$5:$H$69&lt;H43))+SUMPRODUCT((I$5:I43="")*($H$5:H43=H43)),"")</f>
        <v/>
      </c>
      <c r="X43" s="8" t="str">
        <f>IF(I43="",SUMPRODUCT(($I$5:$I$69="")*($H$5:$H$69&gt;H43))+SUMPRODUCT((I$5:I43="")*($H$5:H43=H43)),"")</f>
        <v/>
      </c>
      <c r="Y43" s="8">
        <f t="shared" si="14"/>
        <v>1</v>
      </c>
      <c r="Z43" s="8">
        <f t="shared" si="15"/>
        <v>1</v>
      </c>
      <c r="AA43" s="8" t="str">
        <f>IF(J43="",SUMPRODUCT(($J$5:$J$69="")*($H$5:$H$69&lt;H43))+SUMPRODUCT((J$5:J43="")*($H$5:H43=H43)),"")</f>
        <v/>
      </c>
      <c r="AB43" s="8" t="str">
        <f>IF(J43="",SUMPRODUCT(($J$5:$J$69="")*($H$5:$H$69&gt;H43))+SUMPRODUCT((J$5:J43="")*($H$5:H43=H43)),"")</f>
        <v/>
      </c>
      <c r="AC43" s="8">
        <f t="shared" si="16"/>
        <v>1</v>
      </c>
      <c r="AD43" s="8">
        <f t="shared" si="17"/>
        <v>1</v>
      </c>
      <c r="AE43" s="8" t="str">
        <f>IF(K43="",SUMPRODUCT(($K$5:$K$69="")*($H$5:$H$69&lt;H43))+SUMPRODUCT((K$5:K43="")*($H$5:H43=H43)),"")</f>
        <v/>
      </c>
      <c r="AF43" s="8" t="str">
        <f>IF(K43="",SUMPRODUCT(($K$5:$K$69="")*($H$5:$H$69&gt;H43))+SUMPRODUCT((K$5:K43="")*($H$5:H43=H43)),"")</f>
        <v/>
      </c>
      <c r="AG43" s="8">
        <f t="shared" si="18"/>
        <v>1</v>
      </c>
      <c r="AH43" s="8">
        <f t="shared" si="19"/>
        <v>1</v>
      </c>
    </row>
    <row r="44" spans="1:34" ht="23.85" customHeight="1" x14ac:dyDescent="0.25">
      <c r="A44" s="8" t="s">
        <v>216</v>
      </c>
      <c r="B44" s="8" t="s">
        <v>217</v>
      </c>
      <c r="C44" s="8" t="s">
        <v>177</v>
      </c>
      <c r="D44" s="8" t="s">
        <v>161</v>
      </c>
      <c r="E44" s="8" t="s">
        <v>128</v>
      </c>
      <c r="F44" s="16">
        <v>57907</v>
      </c>
      <c r="G44" s="16">
        <v>57906.71</v>
      </c>
      <c r="H44" s="13">
        <f t="shared" si="10"/>
        <v>57906.71</v>
      </c>
      <c r="I44" s="21">
        <v>1</v>
      </c>
      <c r="J44" s="21">
        <v>1</v>
      </c>
      <c r="K44" s="26"/>
      <c r="L44" s="8" t="s">
        <v>312</v>
      </c>
      <c r="M44" s="14">
        <f>Y44*Resumen!$C$6+AC44*Resumen!$C$7+AG44*Resumen!$C$9</f>
        <v>0.9</v>
      </c>
      <c r="N44" s="14">
        <f>Z44*Resumen!$C$6+AD44*Resumen!$C$7+AH44*Resumen!$C$9</f>
        <v>0.9</v>
      </c>
      <c r="O44" s="13">
        <f t="shared" si="11"/>
        <v>52116.038999999997</v>
      </c>
      <c r="P44" s="13">
        <f t="shared" si="12"/>
        <v>52116.038999999997</v>
      </c>
      <c r="Q44" s="21" t="s">
        <v>299</v>
      </c>
      <c r="R44" s="21" t="s">
        <v>299</v>
      </c>
      <c r="S44" s="27"/>
      <c r="T44" s="8" t="s">
        <v>313</v>
      </c>
      <c r="U44" s="13">
        <f>H44*((Q44="Oficial")*Resumen!$C$6+(R44="Oficial")*Resumen!$C$7+(S44="Oficial")*Resumen!$C$9)</f>
        <v>0</v>
      </c>
      <c r="V44" s="8" t="str">
        <f t="shared" si="13"/>
        <v>Con entregas verificadas</v>
      </c>
      <c r="W44" s="8" t="str">
        <f>IF(I44="",SUMPRODUCT(($I$5:$I$69="")*($H$5:$H$69&lt;H44))+SUMPRODUCT((I$5:I44="")*($H$5:H44=H44)),"")</f>
        <v/>
      </c>
      <c r="X44" s="8" t="str">
        <f>IF(I44="",SUMPRODUCT(($I$5:$I$69="")*($H$5:$H$69&gt;H44))+SUMPRODUCT((I$5:I44="")*($H$5:H44=H44)),"")</f>
        <v/>
      </c>
      <c r="Y44" s="8">
        <f t="shared" si="14"/>
        <v>1</v>
      </c>
      <c r="Z44" s="8">
        <f t="shared" si="15"/>
        <v>1</v>
      </c>
      <c r="AA44" s="8" t="str">
        <f>IF(J44="",SUMPRODUCT(($J$5:$J$69="")*($H$5:$H$69&lt;H44))+SUMPRODUCT((J$5:J44="")*($H$5:H44=H44)),"")</f>
        <v/>
      </c>
      <c r="AB44" s="8" t="str">
        <f>IF(J44="",SUMPRODUCT(($J$5:$J$69="")*($H$5:$H$69&gt;H44))+SUMPRODUCT((J$5:J44="")*($H$5:H44=H44)),"")</f>
        <v/>
      </c>
      <c r="AC44" s="8">
        <f t="shared" si="16"/>
        <v>1</v>
      </c>
      <c r="AD44" s="8">
        <f t="shared" si="17"/>
        <v>1</v>
      </c>
      <c r="AE44" s="8">
        <f>IF(K44="",SUMPRODUCT(($K$5:$K$69="")*($H$5:$H$69&lt;H44))+SUMPRODUCT((K$5:K44="")*($H$5:H44=H44)),"")</f>
        <v>23</v>
      </c>
      <c r="AF44" s="8">
        <f>IF(K44="",SUMPRODUCT(($K$5:$K$69="")*($H$5:$H$69&gt;H44))+SUMPRODUCT((K$5:K44="")*($H$5:H44=H44)),"")</f>
        <v>17</v>
      </c>
      <c r="AG44" s="8">
        <f t="shared" si="18"/>
        <v>0</v>
      </c>
      <c r="AH44" s="8">
        <f t="shared" si="19"/>
        <v>0</v>
      </c>
    </row>
    <row r="45" spans="1:34" ht="23.85" customHeight="1" x14ac:dyDescent="0.25">
      <c r="A45" s="8" t="s">
        <v>218</v>
      </c>
      <c r="B45" s="8" t="s">
        <v>219</v>
      </c>
      <c r="C45" s="8" t="s">
        <v>177</v>
      </c>
      <c r="D45" s="8" t="s">
        <v>161</v>
      </c>
      <c r="E45" s="8" t="s">
        <v>128</v>
      </c>
      <c r="F45" s="16">
        <v>37194</v>
      </c>
      <c r="G45" s="16">
        <v>37194.19</v>
      </c>
      <c r="H45" s="13">
        <f t="shared" si="10"/>
        <v>37194.19</v>
      </c>
      <c r="I45" s="21">
        <v>1</v>
      </c>
      <c r="J45" s="21">
        <v>1</v>
      </c>
      <c r="K45" s="21">
        <v>1</v>
      </c>
      <c r="L45" s="8" t="s">
        <v>298</v>
      </c>
      <c r="M45" s="14">
        <f>Y45*Resumen!$C$6+AC45*Resumen!$C$7+AG45*Resumen!$C$9</f>
        <v>1</v>
      </c>
      <c r="N45" s="14">
        <f>Z45*Resumen!$C$6+AD45*Resumen!$C$7+AH45*Resumen!$C$9</f>
        <v>1</v>
      </c>
      <c r="O45" s="13">
        <f t="shared" si="11"/>
        <v>37194.19</v>
      </c>
      <c r="P45" s="13">
        <f t="shared" si="12"/>
        <v>37194.19</v>
      </c>
      <c r="Q45" s="21" t="s">
        <v>299</v>
      </c>
      <c r="R45" s="21" t="s">
        <v>299</v>
      </c>
      <c r="S45" s="21" t="s">
        <v>299</v>
      </c>
      <c r="T45" s="8" t="s">
        <v>308</v>
      </c>
      <c r="U45" s="13">
        <f>H45*((Q45="Oficial")*Resumen!$C$6+(R45="Oficial")*Resumen!$C$7+(S45="Oficial")*Resumen!$C$9)</f>
        <v>0</v>
      </c>
      <c r="V45" s="8" t="str">
        <f t="shared" si="13"/>
        <v>Con entregas verificadas</v>
      </c>
      <c r="W45" s="8" t="str">
        <f>IF(I45="",SUMPRODUCT(($I$5:$I$69="")*($H$5:$H$69&lt;H45))+SUMPRODUCT((I$5:I45="")*($H$5:H45=H45)),"")</f>
        <v/>
      </c>
      <c r="X45" s="8" t="str">
        <f>IF(I45="",SUMPRODUCT(($I$5:$I$69="")*($H$5:$H$69&gt;H45))+SUMPRODUCT((I$5:I45="")*($H$5:H45=H45)),"")</f>
        <v/>
      </c>
      <c r="Y45" s="8">
        <f t="shared" si="14"/>
        <v>1</v>
      </c>
      <c r="Z45" s="8">
        <f t="shared" si="15"/>
        <v>1</v>
      </c>
      <c r="AA45" s="8" t="str">
        <f>IF(J45="",SUMPRODUCT(($J$5:$J$69="")*($H$5:$H$69&lt;H45))+SUMPRODUCT((J$5:J45="")*($H$5:H45=H45)),"")</f>
        <v/>
      </c>
      <c r="AB45" s="8" t="str">
        <f>IF(J45="",SUMPRODUCT(($J$5:$J$69="")*($H$5:$H$69&gt;H45))+SUMPRODUCT((J$5:J45="")*($H$5:H45=H45)),"")</f>
        <v/>
      </c>
      <c r="AC45" s="8">
        <f t="shared" si="16"/>
        <v>1</v>
      </c>
      <c r="AD45" s="8">
        <f t="shared" si="17"/>
        <v>1</v>
      </c>
      <c r="AE45" s="8" t="str">
        <f>IF(K45="",SUMPRODUCT(($K$5:$K$69="")*($H$5:$H$69&lt;H45))+SUMPRODUCT((K$5:K45="")*($H$5:H45=H45)),"")</f>
        <v/>
      </c>
      <c r="AF45" s="8" t="str">
        <f>IF(K45="",SUMPRODUCT(($K$5:$K$69="")*($H$5:$H$69&gt;H45))+SUMPRODUCT((K$5:K45="")*($H$5:H45=H45)),"")</f>
        <v/>
      </c>
      <c r="AG45" s="8">
        <f t="shared" si="18"/>
        <v>1</v>
      </c>
      <c r="AH45" s="8">
        <f t="shared" si="19"/>
        <v>1</v>
      </c>
    </row>
    <row r="46" spans="1:34" ht="15" customHeight="1" x14ac:dyDescent="0.25">
      <c r="A46" s="8" t="s">
        <v>220</v>
      </c>
      <c r="B46" s="8" t="s">
        <v>221</v>
      </c>
      <c r="C46" s="8" t="s">
        <v>157</v>
      </c>
      <c r="D46" s="8" t="s">
        <v>161</v>
      </c>
      <c r="E46" s="8" t="s">
        <v>128</v>
      </c>
      <c r="F46" s="16">
        <v>196582</v>
      </c>
      <c r="H46" s="13">
        <f t="shared" si="10"/>
        <v>196582</v>
      </c>
      <c r="I46" s="26"/>
      <c r="J46" s="26"/>
      <c r="K46" s="21">
        <v>0</v>
      </c>
      <c r="L46" s="8" t="s">
        <v>301</v>
      </c>
      <c r="M46" s="14">
        <f>Y46*Resumen!$C$6+AC46*Resumen!$C$7+AG46*Resumen!$C$9</f>
        <v>0</v>
      </c>
      <c r="N46" s="14">
        <f>Z46*Resumen!$C$6+AD46*Resumen!$C$7+AH46*Resumen!$C$9</f>
        <v>0.9</v>
      </c>
      <c r="O46" s="13">
        <f t="shared" si="11"/>
        <v>0</v>
      </c>
      <c r="P46" s="13">
        <f t="shared" si="12"/>
        <v>176923.80000000002</v>
      </c>
      <c r="Q46" s="27"/>
      <c r="R46" s="27"/>
      <c r="S46" s="27"/>
      <c r="T46" s="28"/>
      <c r="U46" s="13">
        <f>H46*((Q46="Oficial")*Resumen!$C$6+(R46="Oficial")*Resumen!$C$7+(S46="Oficial")*Resumen!$C$9)</f>
        <v>0</v>
      </c>
      <c r="V46" s="8" t="str">
        <f t="shared" si="13"/>
        <v>Sin evidencia municipal</v>
      </c>
      <c r="W46" s="8">
        <f>IF(I46="",SUMPRODUCT(($I$5:$I$69="")*($H$5:$H$69&lt;H46))+SUMPRODUCT((I$5:I46="")*($H$5:H46=H46)),"")</f>
        <v>47</v>
      </c>
      <c r="X46" s="8">
        <f>IF(I46="",SUMPRODUCT(($I$5:$I$69="")*($H$5:$H$69&gt;H46))+SUMPRODUCT((I$5:I46="")*($H$5:H46=H46)),"")</f>
        <v>2</v>
      </c>
      <c r="Y46" s="8">
        <f t="shared" si="14"/>
        <v>0</v>
      </c>
      <c r="Z46" s="8">
        <f t="shared" si="15"/>
        <v>1</v>
      </c>
      <c r="AA46" s="8">
        <f>IF(J46="",SUMPRODUCT(($J$5:$J$69="")*($H$5:$H$69&lt;H46))+SUMPRODUCT((J$5:J46="")*($H$5:H46=H46)),"")</f>
        <v>47</v>
      </c>
      <c r="AB46" s="8">
        <f>IF(J46="",SUMPRODUCT(($J$5:$J$69="")*($H$5:$H$69&gt;H46))+SUMPRODUCT((J$5:J46="")*($H$5:H46=H46)),"")</f>
        <v>2</v>
      </c>
      <c r="AC46" s="8">
        <f t="shared" si="16"/>
        <v>0</v>
      </c>
      <c r="AD46" s="8">
        <f t="shared" si="17"/>
        <v>1</v>
      </c>
      <c r="AE46" s="8" t="str">
        <f>IF(K46="",SUMPRODUCT(($K$5:$K$69="")*($H$5:$H$69&lt;H46))+SUMPRODUCT((K$5:K46="")*($H$5:H46=H46)),"")</f>
        <v/>
      </c>
      <c r="AF46" s="8" t="str">
        <f>IF(K46="",SUMPRODUCT(($K$5:$K$69="")*($H$5:$H$69&gt;H46))+SUMPRODUCT((K$5:K46="")*($H$5:H46=H46)),"")</f>
        <v/>
      </c>
      <c r="AG46" s="8">
        <f t="shared" si="18"/>
        <v>0</v>
      </c>
      <c r="AH46" s="8">
        <f t="shared" si="19"/>
        <v>0</v>
      </c>
    </row>
    <row r="47" spans="1:34" ht="15" customHeight="1" x14ac:dyDescent="0.25">
      <c r="A47" s="8" t="s">
        <v>222</v>
      </c>
      <c r="B47" s="8" t="s">
        <v>223</v>
      </c>
      <c r="C47" s="8" t="s">
        <v>138</v>
      </c>
      <c r="D47" s="8" t="s">
        <v>161</v>
      </c>
      <c r="E47" s="8" t="s">
        <v>128</v>
      </c>
      <c r="F47" s="16">
        <v>20682</v>
      </c>
      <c r="H47" s="13">
        <f t="shared" si="10"/>
        <v>20682</v>
      </c>
      <c r="I47" s="26"/>
      <c r="J47" s="26"/>
      <c r="K47" s="26"/>
      <c r="L47" s="8" t="s">
        <v>304</v>
      </c>
      <c r="M47" s="14">
        <f>Y47*Resumen!$C$6+AC47*Resumen!$C$7+AG47*Resumen!$C$9</f>
        <v>1</v>
      </c>
      <c r="N47" s="14">
        <f>Z47*Resumen!$C$6+AD47*Resumen!$C$7+AH47*Resumen!$C$9</f>
        <v>0</v>
      </c>
      <c r="O47" s="13">
        <f t="shared" si="11"/>
        <v>20682</v>
      </c>
      <c r="P47" s="13">
        <f t="shared" si="12"/>
        <v>0</v>
      </c>
      <c r="Q47" s="27"/>
      <c r="R47" s="27"/>
      <c r="S47" s="27"/>
      <c r="T47" s="28"/>
      <c r="U47" s="13">
        <f>H47*((Q47="Oficial")*Resumen!$C$6+(R47="Oficial")*Resumen!$C$7+(S47="Oficial")*Resumen!$C$9)</f>
        <v>0</v>
      </c>
      <c r="V47" s="8" t="str">
        <f t="shared" si="13"/>
        <v>Sin evidencia municipal</v>
      </c>
      <c r="W47" s="8">
        <f>IF(I47="",SUMPRODUCT(($I$5:$I$69="")*($H$5:$H$69&lt;H47))+SUMPRODUCT((I$5:I47="")*($H$5:H47=H47)),"")</f>
        <v>8</v>
      </c>
      <c r="X47" s="8">
        <f>IF(I47="",SUMPRODUCT(($I$5:$I$69="")*($H$5:$H$69&gt;H47))+SUMPRODUCT((I$5:I47="")*($H$5:H47=H47)),"")</f>
        <v>41</v>
      </c>
      <c r="Y47" s="8">
        <f t="shared" si="14"/>
        <v>1</v>
      </c>
      <c r="Z47" s="8">
        <f t="shared" si="15"/>
        <v>0</v>
      </c>
      <c r="AA47" s="8">
        <f>IF(J47="",SUMPRODUCT(($J$5:$J$69="")*($H$5:$H$69&lt;H47))+SUMPRODUCT((J$5:J47="")*($H$5:H47=H47)),"")</f>
        <v>8</v>
      </c>
      <c r="AB47" s="8">
        <f>IF(J47="",SUMPRODUCT(($J$5:$J$69="")*($H$5:$H$69&gt;H47))+SUMPRODUCT((J$5:J47="")*($H$5:H47=H47)),"")</f>
        <v>41</v>
      </c>
      <c r="AC47" s="8">
        <f t="shared" si="16"/>
        <v>1</v>
      </c>
      <c r="AD47" s="8">
        <f t="shared" si="17"/>
        <v>0</v>
      </c>
      <c r="AE47" s="8">
        <f>IF(K47="",SUMPRODUCT(($K$5:$K$69="")*($H$5:$H$69&lt;H47))+SUMPRODUCT((K$5:K47="")*($H$5:H47=H47)),"")</f>
        <v>4</v>
      </c>
      <c r="AF47" s="8">
        <f>IF(K47="",SUMPRODUCT(($K$5:$K$69="")*($H$5:$H$69&gt;H47))+SUMPRODUCT((K$5:K47="")*($H$5:H47=H47)),"")</f>
        <v>36</v>
      </c>
      <c r="AG47" s="8">
        <f t="shared" si="18"/>
        <v>1</v>
      </c>
      <c r="AH47" s="8">
        <f t="shared" si="19"/>
        <v>0</v>
      </c>
    </row>
    <row r="48" spans="1:34" ht="15" customHeight="1" x14ac:dyDescent="0.25">
      <c r="A48" s="8" t="s">
        <v>224</v>
      </c>
      <c r="B48" s="8" t="s">
        <v>225</v>
      </c>
      <c r="C48" s="8" t="s">
        <v>138</v>
      </c>
      <c r="D48" s="8" t="s">
        <v>161</v>
      </c>
      <c r="E48" s="8" t="s">
        <v>128</v>
      </c>
      <c r="F48" s="16">
        <v>12605</v>
      </c>
      <c r="H48" s="13">
        <f t="shared" si="10"/>
        <v>12605</v>
      </c>
      <c r="I48" s="26"/>
      <c r="J48" s="26"/>
      <c r="K48" s="26"/>
      <c r="L48" s="8" t="s">
        <v>304</v>
      </c>
      <c r="M48" s="14">
        <f>Y48*Resumen!$C$6+AC48*Resumen!$C$7+AG48*Resumen!$C$9</f>
        <v>1</v>
      </c>
      <c r="N48" s="14">
        <f>Z48*Resumen!$C$6+AD48*Resumen!$C$7+AH48*Resumen!$C$9</f>
        <v>0</v>
      </c>
      <c r="O48" s="13">
        <f t="shared" si="11"/>
        <v>12605</v>
      </c>
      <c r="P48" s="13">
        <f t="shared" si="12"/>
        <v>0</v>
      </c>
      <c r="Q48" s="27"/>
      <c r="R48" s="27"/>
      <c r="S48" s="27"/>
      <c r="T48" s="28"/>
      <c r="U48" s="13">
        <f>H48*((Q48="Oficial")*Resumen!$C$6+(R48="Oficial")*Resumen!$C$7+(S48="Oficial")*Resumen!$C$9)</f>
        <v>0</v>
      </c>
      <c r="V48" s="8" t="str">
        <f t="shared" si="13"/>
        <v>Sin evidencia municipal</v>
      </c>
      <c r="W48" s="8">
        <f>IF(I48="",SUMPRODUCT(($I$5:$I$69="")*($H$5:$H$69&lt;H48))+SUMPRODUCT((I$5:I48="")*($H$5:H48=H48)),"")</f>
        <v>4</v>
      </c>
      <c r="X48" s="8">
        <f>IF(I48="",SUMPRODUCT(($I$5:$I$69="")*($H$5:$H$69&gt;H48))+SUMPRODUCT((I$5:I48="")*($H$5:H48=H48)),"")</f>
        <v>45</v>
      </c>
      <c r="Y48" s="8">
        <f t="shared" si="14"/>
        <v>1</v>
      </c>
      <c r="Z48" s="8">
        <f t="shared" si="15"/>
        <v>0</v>
      </c>
      <c r="AA48" s="8">
        <f>IF(J48="",SUMPRODUCT(($J$5:$J$69="")*($H$5:$H$69&lt;H48))+SUMPRODUCT((J$5:J48="")*($H$5:H48=H48)),"")</f>
        <v>4</v>
      </c>
      <c r="AB48" s="8">
        <f>IF(J48="",SUMPRODUCT(($J$5:$J$69="")*($H$5:$H$69&gt;H48))+SUMPRODUCT((J$5:J48="")*($H$5:H48=H48)),"")</f>
        <v>45</v>
      </c>
      <c r="AC48" s="8">
        <f t="shared" si="16"/>
        <v>1</v>
      </c>
      <c r="AD48" s="8">
        <f t="shared" si="17"/>
        <v>0</v>
      </c>
      <c r="AE48" s="8">
        <f>IF(K48="",SUMPRODUCT(($K$5:$K$69="")*($H$5:$H$69&lt;H48))+SUMPRODUCT((K$5:K48="")*($H$5:H48=H48)),"")</f>
        <v>3</v>
      </c>
      <c r="AF48" s="8">
        <f>IF(K48="",SUMPRODUCT(($K$5:$K$69="")*($H$5:$H$69&gt;H48))+SUMPRODUCT((K$5:K48="")*($H$5:H48=H48)),"")</f>
        <v>37</v>
      </c>
      <c r="AG48" s="8">
        <f t="shared" si="18"/>
        <v>1</v>
      </c>
      <c r="AH48" s="8">
        <f t="shared" si="19"/>
        <v>0</v>
      </c>
    </row>
    <row r="49" spans="1:34" ht="23.85" customHeight="1" x14ac:dyDescent="0.25">
      <c r="A49" s="8" t="s">
        <v>226</v>
      </c>
      <c r="B49" s="8" t="s">
        <v>227</v>
      </c>
      <c r="C49" s="8" t="s">
        <v>185</v>
      </c>
      <c r="D49" s="8" t="s">
        <v>161</v>
      </c>
      <c r="E49" s="8" t="s">
        <v>128</v>
      </c>
      <c r="F49" s="16">
        <v>27208</v>
      </c>
      <c r="G49" s="16">
        <v>27208.01</v>
      </c>
      <c r="H49" s="13">
        <f t="shared" si="10"/>
        <v>27208.01</v>
      </c>
      <c r="I49" s="21">
        <v>1</v>
      </c>
      <c r="J49" s="21">
        <v>1</v>
      </c>
      <c r="K49" s="21">
        <v>1</v>
      </c>
      <c r="L49" s="8" t="s">
        <v>298</v>
      </c>
      <c r="M49" s="14">
        <f>Y49*Resumen!$C$6+AC49*Resumen!$C$7+AG49*Resumen!$C$9</f>
        <v>1</v>
      </c>
      <c r="N49" s="14">
        <f>Z49*Resumen!$C$6+AD49*Resumen!$C$7+AH49*Resumen!$C$9</f>
        <v>1</v>
      </c>
      <c r="O49" s="13">
        <f t="shared" si="11"/>
        <v>27208.01</v>
      </c>
      <c r="P49" s="13">
        <f t="shared" si="12"/>
        <v>27208.01</v>
      </c>
      <c r="Q49" s="21" t="s">
        <v>299</v>
      </c>
      <c r="R49" s="21" t="s">
        <v>299</v>
      </c>
      <c r="S49" s="21" t="s">
        <v>299</v>
      </c>
      <c r="T49" s="8" t="s">
        <v>302</v>
      </c>
      <c r="U49" s="13">
        <f>H49*((Q49="Oficial")*Resumen!$C$6+(R49="Oficial")*Resumen!$C$7+(S49="Oficial")*Resumen!$C$9)</f>
        <v>0</v>
      </c>
      <c r="V49" s="8" t="str">
        <f t="shared" si="13"/>
        <v>Con entregas verificadas</v>
      </c>
      <c r="W49" s="8" t="str">
        <f>IF(I49="",SUMPRODUCT(($I$5:$I$69="")*($H$5:$H$69&lt;H49))+SUMPRODUCT((I$5:I49="")*($H$5:H49=H49)),"")</f>
        <v/>
      </c>
      <c r="X49" s="8" t="str">
        <f>IF(I49="",SUMPRODUCT(($I$5:$I$69="")*($H$5:$H$69&gt;H49))+SUMPRODUCT((I$5:I49="")*($H$5:H49=H49)),"")</f>
        <v/>
      </c>
      <c r="Y49" s="8">
        <f t="shared" si="14"/>
        <v>1</v>
      </c>
      <c r="Z49" s="8">
        <f t="shared" si="15"/>
        <v>1</v>
      </c>
      <c r="AA49" s="8" t="str">
        <f>IF(J49="",SUMPRODUCT(($J$5:$J$69="")*($H$5:$H$69&lt;H49))+SUMPRODUCT((J$5:J49="")*($H$5:H49=H49)),"")</f>
        <v/>
      </c>
      <c r="AB49" s="8" t="str">
        <f>IF(J49="",SUMPRODUCT(($J$5:$J$69="")*($H$5:$H$69&gt;H49))+SUMPRODUCT((J$5:J49="")*($H$5:H49=H49)),"")</f>
        <v/>
      </c>
      <c r="AC49" s="8">
        <f t="shared" si="16"/>
        <v>1</v>
      </c>
      <c r="AD49" s="8">
        <f t="shared" si="17"/>
        <v>1</v>
      </c>
      <c r="AE49" s="8" t="str">
        <f>IF(K49="",SUMPRODUCT(($K$5:$K$69="")*($H$5:$H$69&lt;H49))+SUMPRODUCT((K$5:K49="")*($H$5:H49=H49)),"")</f>
        <v/>
      </c>
      <c r="AF49" s="8" t="str">
        <f>IF(K49="",SUMPRODUCT(($K$5:$K$69="")*($H$5:$H$69&gt;H49))+SUMPRODUCT((K$5:K49="")*($H$5:H49=H49)),"")</f>
        <v/>
      </c>
      <c r="AG49" s="8">
        <f t="shared" si="18"/>
        <v>1</v>
      </c>
      <c r="AH49" s="8">
        <f t="shared" si="19"/>
        <v>1</v>
      </c>
    </row>
    <row r="50" spans="1:34" ht="15" customHeight="1" x14ac:dyDescent="0.25">
      <c r="A50" s="8" t="s">
        <v>228</v>
      </c>
      <c r="B50" s="8" t="s">
        <v>229</v>
      </c>
      <c r="C50" s="8" t="s">
        <v>185</v>
      </c>
      <c r="D50" s="8" t="s">
        <v>161</v>
      </c>
      <c r="E50" s="8" t="s">
        <v>128</v>
      </c>
      <c r="F50" s="16">
        <v>70535</v>
      </c>
      <c r="H50" s="13">
        <f t="shared" si="10"/>
        <v>70535</v>
      </c>
      <c r="I50" s="26"/>
      <c r="J50" s="26"/>
      <c r="K50" s="26"/>
      <c r="L50" s="8" t="s">
        <v>304</v>
      </c>
      <c r="M50" s="14">
        <f>Y50*Resumen!$C$6+AC50*Resumen!$C$7+AG50*Resumen!$C$9</f>
        <v>0.9</v>
      </c>
      <c r="N50" s="14">
        <f>Z50*Resumen!$C$6+AD50*Resumen!$C$7+AH50*Resumen!$C$9</f>
        <v>1</v>
      </c>
      <c r="O50" s="13">
        <f t="shared" si="11"/>
        <v>63481.5</v>
      </c>
      <c r="P50" s="13">
        <f t="shared" si="12"/>
        <v>70535</v>
      </c>
      <c r="Q50" s="27"/>
      <c r="R50" s="27"/>
      <c r="S50" s="27"/>
      <c r="T50" s="28"/>
      <c r="U50" s="13">
        <f>H50*((Q50="Oficial")*Resumen!$C$6+(R50="Oficial")*Resumen!$C$7+(S50="Oficial")*Resumen!$C$9)</f>
        <v>0</v>
      </c>
      <c r="V50" s="8" t="str">
        <f t="shared" si="13"/>
        <v>Sin evidencia municipal</v>
      </c>
      <c r="W50" s="8">
        <f>IF(I50="",SUMPRODUCT(($I$5:$I$69="")*($H$5:$H$69&lt;H50))+SUMPRODUCT((I$5:I50="")*($H$5:H50=H50)),"")</f>
        <v>32</v>
      </c>
      <c r="X50" s="8">
        <f>IF(I50="",SUMPRODUCT(($I$5:$I$69="")*($H$5:$H$69&gt;H50))+SUMPRODUCT((I$5:I50="")*($H$5:H50=H50)),"")</f>
        <v>17</v>
      </c>
      <c r="Y50" s="8">
        <f t="shared" si="14"/>
        <v>1</v>
      </c>
      <c r="Z50" s="8">
        <f t="shared" si="15"/>
        <v>1</v>
      </c>
      <c r="AA50" s="8">
        <f>IF(J50="",SUMPRODUCT(($J$5:$J$69="")*($H$5:$H$69&lt;H50))+SUMPRODUCT((J$5:J50="")*($H$5:H50=H50)),"")</f>
        <v>32</v>
      </c>
      <c r="AB50" s="8">
        <f>IF(J50="",SUMPRODUCT(($J$5:$J$69="")*($H$5:$H$69&gt;H50))+SUMPRODUCT((J$5:J50="")*($H$5:H50=H50)),"")</f>
        <v>17</v>
      </c>
      <c r="AC50" s="8">
        <f t="shared" si="16"/>
        <v>1</v>
      </c>
      <c r="AD50" s="8">
        <f t="shared" si="17"/>
        <v>1</v>
      </c>
      <c r="AE50" s="8">
        <f>IF(K50="",SUMPRODUCT(($K$5:$K$69="")*($H$5:$H$69&lt;H50))+SUMPRODUCT((K$5:K50="")*($H$5:H50=H50)),"")</f>
        <v>24</v>
      </c>
      <c r="AF50" s="8">
        <f>IF(K50="",SUMPRODUCT(($K$5:$K$69="")*($H$5:$H$69&gt;H50))+SUMPRODUCT((K$5:K50="")*($H$5:H50=H50)),"")</f>
        <v>16</v>
      </c>
      <c r="AG50" s="8">
        <f t="shared" si="18"/>
        <v>0</v>
      </c>
      <c r="AH50" s="8">
        <f t="shared" si="19"/>
        <v>1</v>
      </c>
    </row>
    <row r="51" spans="1:34" ht="15" customHeight="1" x14ac:dyDescent="0.25">
      <c r="A51" s="8" t="s">
        <v>230</v>
      </c>
      <c r="B51" s="8" t="s">
        <v>231</v>
      </c>
      <c r="C51" s="8" t="s">
        <v>138</v>
      </c>
      <c r="D51" s="8" t="s">
        <v>161</v>
      </c>
      <c r="E51" s="8" t="s">
        <v>128</v>
      </c>
      <c r="F51" s="16">
        <v>23361</v>
      </c>
      <c r="H51" s="13">
        <f t="shared" si="10"/>
        <v>23361</v>
      </c>
      <c r="I51" s="26"/>
      <c r="J51" s="26"/>
      <c r="K51" s="26"/>
      <c r="L51" s="8" t="s">
        <v>304</v>
      </c>
      <c r="M51" s="14">
        <f>Y51*Resumen!$C$6+AC51*Resumen!$C$7+AG51*Resumen!$C$9</f>
        <v>1</v>
      </c>
      <c r="N51" s="14">
        <f>Z51*Resumen!$C$6+AD51*Resumen!$C$7+AH51*Resumen!$C$9</f>
        <v>0</v>
      </c>
      <c r="O51" s="13">
        <f t="shared" si="11"/>
        <v>23361</v>
      </c>
      <c r="P51" s="13">
        <f t="shared" si="12"/>
        <v>0</v>
      </c>
      <c r="Q51" s="27"/>
      <c r="R51" s="27"/>
      <c r="S51" s="27"/>
      <c r="T51" s="28"/>
      <c r="U51" s="13">
        <f>H51*((Q51="Oficial")*Resumen!$C$6+(R51="Oficial")*Resumen!$C$7+(S51="Oficial")*Resumen!$C$9)</f>
        <v>0</v>
      </c>
      <c r="V51" s="8" t="str">
        <f t="shared" si="13"/>
        <v>Sin evidencia municipal</v>
      </c>
      <c r="W51" s="8">
        <f>IF(I51="",SUMPRODUCT(($I$5:$I$69="")*($H$5:$H$69&lt;H51))+SUMPRODUCT((I$5:I51="")*($H$5:H51=H51)),"")</f>
        <v>11</v>
      </c>
      <c r="X51" s="8">
        <f>IF(I51="",SUMPRODUCT(($I$5:$I$69="")*($H$5:$H$69&gt;H51))+SUMPRODUCT((I$5:I51="")*($H$5:H51=H51)),"")</f>
        <v>38</v>
      </c>
      <c r="Y51" s="8">
        <f t="shared" si="14"/>
        <v>1</v>
      </c>
      <c r="Z51" s="8">
        <f t="shared" si="15"/>
        <v>0</v>
      </c>
      <c r="AA51" s="8">
        <f>IF(J51="",SUMPRODUCT(($J$5:$J$69="")*($H$5:$H$69&lt;H51))+SUMPRODUCT((J$5:J51="")*($H$5:H51=H51)),"")</f>
        <v>11</v>
      </c>
      <c r="AB51" s="8">
        <f>IF(J51="",SUMPRODUCT(($J$5:$J$69="")*($H$5:$H$69&gt;H51))+SUMPRODUCT((J$5:J51="")*($H$5:H51=H51)),"")</f>
        <v>38</v>
      </c>
      <c r="AC51" s="8">
        <f t="shared" si="16"/>
        <v>1</v>
      </c>
      <c r="AD51" s="8">
        <f t="shared" si="17"/>
        <v>0</v>
      </c>
      <c r="AE51" s="8">
        <f>IF(K51="",SUMPRODUCT(($K$5:$K$69="")*($H$5:$H$69&lt;H51))+SUMPRODUCT((K$5:K51="")*($H$5:H51=H51)),"")</f>
        <v>6</v>
      </c>
      <c r="AF51" s="8">
        <f>IF(K51="",SUMPRODUCT(($K$5:$K$69="")*($H$5:$H$69&gt;H51))+SUMPRODUCT((K$5:K51="")*($H$5:H51=H51)),"")</f>
        <v>34</v>
      </c>
      <c r="AG51" s="8">
        <f t="shared" si="18"/>
        <v>1</v>
      </c>
      <c r="AH51" s="8">
        <f t="shared" si="19"/>
        <v>0</v>
      </c>
    </row>
    <row r="52" spans="1:34" ht="15" customHeight="1" x14ac:dyDescent="0.25">
      <c r="A52" s="8" t="s">
        <v>232</v>
      </c>
      <c r="B52" s="8" t="s">
        <v>233</v>
      </c>
      <c r="C52" s="8" t="s">
        <v>157</v>
      </c>
      <c r="D52" s="8" t="s">
        <v>161</v>
      </c>
      <c r="E52" s="8" t="s">
        <v>128</v>
      </c>
      <c r="F52" s="16">
        <v>42700</v>
      </c>
      <c r="G52" s="16">
        <v>42700.2</v>
      </c>
      <c r="H52" s="13">
        <f t="shared" si="10"/>
        <v>42700.2</v>
      </c>
      <c r="I52" s="21">
        <v>1</v>
      </c>
      <c r="J52" s="26"/>
      <c r="K52" s="26"/>
      <c r="L52" s="8" t="s">
        <v>314</v>
      </c>
      <c r="M52" s="14">
        <f>Y52*Resumen!$C$6+AC52*Resumen!$C$7+AG52*Resumen!$C$9</f>
        <v>1</v>
      </c>
      <c r="N52" s="14">
        <f>Z52*Resumen!$C$6+AD52*Resumen!$C$7+AH52*Resumen!$C$9</f>
        <v>0.9</v>
      </c>
      <c r="O52" s="13">
        <f t="shared" si="11"/>
        <v>42700.2</v>
      </c>
      <c r="P52" s="13">
        <f t="shared" si="12"/>
        <v>38430.18</v>
      </c>
      <c r="Q52" s="27"/>
      <c r="R52" s="27"/>
      <c r="S52" s="27"/>
      <c r="T52" s="28"/>
      <c r="U52" s="13">
        <f>H52*((Q52="Oficial")*Resumen!$C$6+(R52="Oficial")*Resumen!$C$7+(S52="Oficial")*Resumen!$C$9)</f>
        <v>0</v>
      </c>
      <c r="V52" s="8" t="str">
        <f t="shared" si="13"/>
        <v>Con entregas verificadas</v>
      </c>
      <c r="W52" s="8" t="str">
        <f>IF(I52="",SUMPRODUCT(($I$5:$I$69="")*($H$5:$H$69&lt;H52))+SUMPRODUCT((I$5:I52="")*($H$5:H52=H52)),"")</f>
        <v/>
      </c>
      <c r="X52" s="8" t="str">
        <f>IF(I52="",SUMPRODUCT(($I$5:$I$69="")*($H$5:$H$69&gt;H52))+SUMPRODUCT((I$5:I52="")*($H$5:H52=H52)),"")</f>
        <v/>
      </c>
      <c r="Y52" s="8">
        <f t="shared" si="14"/>
        <v>1</v>
      </c>
      <c r="Z52" s="8">
        <f t="shared" si="15"/>
        <v>1</v>
      </c>
      <c r="AA52" s="8">
        <f>IF(J52="",SUMPRODUCT(($J$5:$J$69="")*($H$5:$H$69&lt;H52))+SUMPRODUCT((J$5:J52="")*($H$5:H52=H52)),"")</f>
        <v>26</v>
      </c>
      <c r="AB52" s="8">
        <f>IF(J52="",SUMPRODUCT(($J$5:$J$69="")*($H$5:$H$69&gt;H52))+SUMPRODUCT((J$5:J52="")*($H$5:H52=H52)),"")</f>
        <v>23</v>
      </c>
      <c r="AC52" s="8">
        <f t="shared" si="16"/>
        <v>1</v>
      </c>
      <c r="AD52" s="8">
        <f t="shared" si="17"/>
        <v>1</v>
      </c>
      <c r="AE52" s="8">
        <f>IF(K52="",SUMPRODUCT(($K$5:$K$69="")*($H$5:$H$69&lt;H52))+SUMPRODUCT((K$5:K52="")*($H$5:H52=H52)),"")</f>
        <v>16</v>
      </c>
      <c r="AF52" s="8">
        <f>IF(K52="",SUMPRODUCT(($K$5:$K$69="")*($H$5:$H$69&gt;H52))+SUMPRODUCT((K$5:K52="")*($H$5:H52=H52)),"")</f>
        <v>24</v>
      </c>
      <c r="AG52" s="8">
        <f t="shared" si="18"/>
        <v>1</v>
      </c>
      <c r="AH52" s="8">
        <f t="shared" si="19"/>
        <v>0</v>
      </c>
    </row>
    <row r="53" spans="1:34" ht="15" customHeight="1" x14ac:dyDescent="0.25">
      <c r="A53" s="8" t="s">
        <v>234</v>
      </c>
      <c r="B53" s="8" t="s">
        <v>235</v>
      </c>
      <c r="C53" s="8" t="s">
        <v>138</v>
      </c>
      <c r="D53" s="8" t="s">
        <v>161</v>
      </c>
      <c r="E53" s="8" t="s">
        <v>128</v>
      </c>
      <c r="F53" s="16">
        <v>86571</v>
      </c>
      <c r="H53" s="13">
        <f t="shared" si="10"/>
        <v>86571</v>
      </c>
      <c r="I53" s="26"/>
      <c r="J53" s="26"/>
      <c r="K53" s="26"/>
      <c r="L53" s="8" t="s">
        <v>304</v>
      </c>
      <c r="M53" s="14">
        <f>Y53*Resumen!$C$6+AC53*Resumen!$C$7+AG53*Resumen!$C$9</f>
        <v>0.45</v>
      </c>
      <c r="N53" s="14">
        <f>Z53*Resumen!$C$6+AD53*Resumen!$C$7+AH53*Resumen!$C$9</f>
        <v>1</v>
      </c>
      <c r="O53" s="13">
        <f t="shared" si="11"/>
        <v>38956.950000000004</v>
      </c>
      <c r="P53" s="13">
        <f t="shared" si="12"/>
        <v>86571</v>
      </c>
      <c r="Q53" s="27"/>
      <c r="R53" s="27"/>
      <c r="S53" s="27"/>
      <c r="T53" s="28"/>
      <c r="U53" s="13">
        <f>H53*((Q53="Oficial")*Resumen!$C$6+(R53="Oficial")*Resumen!$C$7+(S53="Oficial")*Resumen!$C$9)</f>
        <v>0</v>
      </c>
      <c r="V53" s="8" t="str">
        <f t="shared" si="13"/>
        <v>Sin evidencia municipal</v>
      </c>
      <c r="W53" s="8">
        <f>IF(I53="",SUMPRODUCT(($I$5:$I$69="")*($H$5:$H$69&lt;H53))+SUMPRODUCT((I$5:I53="")*($H$5:H53=H53)),"")</f>
        <v>35</v>
      </c>
      <c r="X53" s="8">
        <f>IF(I53="",SUMPRODUCT(($I$5:$I$69="")*($H$5:$H$69&gt;H53))+SUMPRODUCT((I$5:I53="")*($H$5:H53=H53)),"")</f>
        <v>14</v>
      </c>
      <c r="Y53" s="8">
        <f t="shared" si="14"/>
        <v>1</v>
      </c>
      <c r="Z53" s="8">
        <f t="shared" si="15"/>
        <v>1</v>
      </c>
      <c r="AA53" s="8">
        <f>IF(J53="",SUMPRODUCT(($J$5:$J$69="")*($H$5:$H$69&lt;H53))+SUMPRODUCT((J$5:J53="")*($H$5:H53=H53)),"")</f>
        <v>35</v>
      </c>
      <c r="AB53" s="8">
        <f>IF(J53="",SUMPRODUCT(($J$5:$J$69="")*($H$5:$H$69&gt;H53))+SUMPRODUCT((J$5:J53="")*($H$5:H53=H53)),"")</f>
        <v>14</v>
      </c>
      <c r="AC53" s="8">
        <f t="shared" si="16"/>
        <v>0</v>
      </c>
      <c r="AD53" s="8">
        <f t="shared" si="17"/>
        <v>1</v>
      </c>
      <c r="AE53" s="8">
        <f>IF(K53="",SUMPRODUCT(($K$5:$K$69="")*($H$5:$H$69&lt;H53))+SUMPRODUCT((K$5:K53="")*($H$5:H53=H53)),"")</f>
        <v>26</v>
      </c>
      <c r="AF53" s="8">
        <f>IF(K53="",SUMPRODUCT(($K$5:$K$69="")*($H$5:$H$69&gt;H53))+SUMPRODUCT((K$5:K53="")*($H$5:H53=H53)),"")</f>
        <v>14</v>
      </c>
      <c r="AG53" s="8">
        <f t="shared" si="18"/>
        <v>0</v>
      </c>
      <c r="AH53" s="8">
        <f t="shared" si="19"/>
        <v>1</v>
      </c>
    </row>
    <row r="54" spans="1:34" ht="15" customHeight="1" x14ac:dyDescent="0.25">
      <c r="A54" s="8" t="s">
        <v>236</v>
      </c>
      <c r="B54" s="8" t="s">
        <v>237</v>
      </c>
      <c r="C54" s="8" t="s">
        <v>157</v>
      </c>
      <c r="D54" s="8" t="s">
        <v>161</v>
      </c>
      <c r="E54" s="8" t="s">
        <v>128</v>
      </c>
      <c r="F54" s="16">
        <v>26674</v>
      </c>
      <c r="H54" s="13">
        <f t="shared" si="10"/>
        <v>26674</v>
      </c>
      <c r="I54" s="26"/>
      <c r="J54" s="26"/>
      <c r="K54" s="21">
        <v>0</v>
      </c>
      <c r="L54" s="8" t="s">
        <v>301</v>
      </c>
      <c r="M54" s="14">
        <f>Y54*Resumen!$C$6+AC54*Resumen!$C$7+AG54*Resumen!$C$9</f>
        <v>0.9</v>
      </c>
      <c r="N54" s="14">
        <f>Z54*Resumen!$C$6+AD54*Resumen!$C$7+AH54*Resumen!$C$9</f>
        <v>0.9</v>
      </c>
      <c r="O54" s="13">
        <f t="shared" si="11"/>
        <v>24006.600000000002</v>
      </c>
      <c r="P54" s="13">
        <f t="shared" si="12"/>
        <v>24006.600000000002</v>
      </c>
      <c r="Q54" s="27"/>
      <c r="R54" s="27"/>
      <c r="S54" s="27"/>
      <c r="T54" s="28"/>
      <c r="U54" s="13">
        <f>H54*((Q54="Oficial")*Resumen!$C$6+(R54="Oficial")*Resumen!$C$7+(S54="Oficial")*Resumen!$C$9)</f>
        <v>0</v>
      </c>
      <c r="V54" s="8" t="str">
        <f t="shared" si="13"/>
        <v>Sin evidencia municipal</v>
      </c>
      <c r="W54" s="8">
        <f>IF(I54="",SUMPRODUCT(($I$5:$I$69="")*($H$5:$H$69&lt;H54))+SUMPRODUCT((I$5:I54="")*($H$5:H54=H54)),"")</f>
        <v>17</v>
      </c>
      <c r="X54" s="8">
        <f>IF(I54="",SUMPRODUCT(($I$5:$I$69="")*($H$5:$H$69&gt;H54))+SUMPRODUCT((I$5:I54="")*($H$5:H54=H54)),"")</f>
        <v>32</v>
      </c>
      <c r="Y54" s="8">
        <f t="shared" si="14"/>
        <v>1</v>
      </c>
      <c r="Z54" s="8">
        <f t="shared" si="15"/>
        <v>1</v>
      </c>
      <c r="AA54" s="8">
        <f>IF(J54="",SUMPRODUCT(($J$5:$J$69="")*($H$5:$H$69&lt;H54))+SUMPRODUCT((J$5:J54="")*($H$5:H54=H54)),"")</f>
        <v>17</v>
      </c>
      <c r="AB54" s="8">
        <f>IF(J54="",SUMPRODUCT(($J$5:$J$69="")*($H$5:$H$69&gt;H54))+SUMPRODUCT((J$5:J54="")*($H$5:H54=H54)),"")</f>
        <v>32</v>
      </c>
      <c r="AC54" s="8">
        <f t="shared" si="16"/>
        <v>1</v>
      </c>
      <c r="AD54" s="8">
        <f t="shared" si="17"/>
        <v>1</v>
      </c>
      <c r="AE54" s="8" t="str">
        <f>IF(K54="",SUMPRODUCT(($K$5:$K$69="")*($H$5:$H$69&lt;H54))+SUMPRODUCT((K$5:K54="")*($H$5:H54=H54)),"")</f>
        <v/>
      </c>
      <c r="AF54" s="8" t="str">
        <f>IF(K54="",SUMPRODUCT(($K$5:$K$69="")*($H$5:$H$69&gt;H54))+SUMPRODUCT((K$5:K54="")*($H$5:H54=H54)),"")</f>
        <v/>
      </c>
      <c r="AG54" s="8">
        <f t="shared" si="18"/>
        <v>0</v>
      </c>
      <c r="AH54" s="8">
        <f t="shared" si="19"/>
        <v>0</v>
      </c>
    </row>
    <row r="55" spans="1:34" ht="15" customHeight="1" x14ac:dyDescent="0.25">
      <c r="A55" s="8" t="s">
        <v>238</v>
      </c>
      <c r="B55" s="8" t="s">
        <v>239</v>
      </c>
      <c r="C55" s="8" t="s">
        <v>180</v>
      </c>
      <c r="D55" s="8" t="s">
        <v>161</v>
      </c>
      <c r="E55" s="8" t="s">
        <v>128</v>
      </c>
      <c r="F55" s="16">
        <v>115340</v>
      </c>
      <c r="H55" s="13">
        <f t="shared" si="10"/>
        <v>115340</v>
      </c>
      <c r="I55" s="26"/>
      <c r="J55" s="26"/>
      <c r="K55" s="26"/>
      <c r="L55" s="8" t="s">
        <v>304</v>
      </c>
      <c r="M55" s="14">
        <f>Y55*Resumen!$C$6+AC55*Resumen!$C$7+AG55*Resumen!$C$9</f>
        <v>0</v>
      </c>
      <c r="N55" s="14">
        <f>Z55*Resumen!$C$6+AD55*Resumen!$C$7+AH55*Resumen!$C$9</f>
        <v>1</v>
      </c>
      <c r="O55" s="13">
        <f t="shared" si="11"/>
        <v>0</v>
      </c>
      <c r="P55" s="13">
        <f t="shared" si="12"/>
        <v>115340</v>
      </c>
      <c r="Q55" s="27"/>
      <c r="R55" s="27"/>
      <c r="S55" s="27"/>
      <c r="T55" s="28"/>
      <c r="U55" s="13">
        <f>H55*((Q55="Oficial")*Resumen!$C$6+(R55="Oficial")*Resumen!$C$7+(S55="Oficial")*Resumen!$C$9)</f>
        <v>0</v>
      </c>
      <c r="V55" s="8" t="str">
        <f t="shared" si="13"/>
        <v>Sin evidencia municipal</v>
      </c>
      <c r="W55" s="8">
        <f>IF(I55="",SUMPRODUCT(($I$5:$I$69="")*($H$5:$H$69&lt;H55))+SUMPRODUCT((I$5:I55="")*($H$5:H55=H55)),"")</f>
        <v>38</v>
      </c>
      <c r="X55" s="8">
        <f>IF(I55="",SUMPRODUCT(($I$5:$I$69="")*($H$5:$H$69&gt;H55))+SUMPRODUCT((I$5:I55="")*($H$5:H55=H55)),"")</f>
        <v>11</v>
      </c>
      <c r="Y55" s="8">
        <f t="shared" si="14"/>
        <v>0</v>
      </c>
      <c r="Z55" s="8">
        <f t="shared" si="15"/>
        <v>1</v>
      </c>
      <c r="AA55" s="8">
        <f>IF(J55="",SUMPRODUCT(($J$5:$J$69="")*($H$5:$H$69&lt;H55))+SUMPRODUCT((J$5:J55="")*($H$5:H55=H55)),"")</f>
        <v>38</v>
      </c>
      <c r="AB55" s="8">
        <f>IF(J55="",SUMPRODUCT(($J$5:$J$69="")*($H$5:$H$69&gt;H55))+SUMPRODUCT((J$5:J55="")*($H$5:H55=H55)),"")</f>
        <v>11</v>
      </c>
      <c r="AC55" s="8">
        <f t="shared" si="16"/>
        <v>0</v>
      </c>
      <c r="AD55" s="8">
        <f t="shared" si="17"/>
        <v>1</v>
      </c>
      <c r="AE55" s="8">
        <f>IF(K55="",SUMPRODUCT(($K$5:$K$69="")*($H$5:$H$69&lt;H55))+SUMPRODUCT((K$5:K55="")*($H$5:H55=H55)),"")</f>
        <v>28</v>
      </c>
      <c r="AF55" s="8">
        <f>IF(K55="",SUMPRODUCT(($K$5:$K$69="")*($H$5:$H$69&gt;H55))+SUMPRODUCT((K$5:K55="")*($H$5:H55=H55)),"")</f>
        <v>12</v>
      </c>
      <c r="AG55" s="8">
        <f t="shared" si="18"/>
        <v>0</v>
      </c>
      <c r="AH55" s="8">
        <f t="shared" si="19"/>
        <v>1</v>
      </c>
    </row>
    <row r="56" spans="1:34" ht="15" customHeight="1" x14ac:dyDescent="0.25">
      <c r="A56" s="8" t="s">
        <v>240</v>
      </c>
      <c r="B56" s="8" t="s">
        <v>241</v>
      </c>
      <c r="C56" s="8" t="s">
        <v>138</v>
      </c>
      <c r="D56" s="8" t="s">
        <v>161</v>
      </c>
      <c r="E56" s="8" t="s">
        <v>128</v>
      </c>
      <c r="F56" s="16">
        <v>13442</v>
      </c>
      <c r="H56" s="13">
        <f t="shared" si="10"/>
        <v>13442</v>
      </c>
      <c r="I56" s="26"/>
      <c r="J56" s="26"/>
      <c r="K56" s="21">
        <v>0</v>
      </c>
      <c r="L56" s="8" t="s">
        <v>301</v>
      </c>
      <c r="M56" s="14">
        <f>Y56*Resumen!$C$6+AC56*Resumen!$C$7+AG56*Resumen!$C$9</f>
        <v>0.9</v>
      </c>
      <c r="N56" s="14">
        <f>Z56*Resumen!$C$6+AD56*Resumen!$C$7+AH56*Resumen!$C$9</f>
        <v>0</v>
      </c>
      <c r="O56" s="13">
        <f t="shared" si="11"/>
        <v>12097.800000000001</v>
      </c>
      <c r="P56" s="13">
        <f t="shared" si="12"/>
        <v>0</v>
      </c>
      <c r="Q56" s="27"/>
      <c r="R56" s="27"/>
      <c r="S56" s="27"/>
      <c r="T56" s="28"/>
      <c r="U56" s="13">
        <f>H56*((Q56="Oficial")*Resumen!$C$6+(R56="Oficial")*Resumen!$C$7+(S56="Oficial")*Resumen!$C$9)</f>
        <v>0</v>
      </c>
      <c r="V56" s="8" t="str">
        <f t="shared" si="13"/>
        <v>Sin evidencia municipal</v>
      </c>
      <c r="W56" s="8">
        <f>IF(I56="",SUMPRODUCT(($I$5:$I$69="")*($H$5:$H$69&lt;H56))+SUMPRODUCT((I$5:I56="")*($H$5:H56=H56)),"")</f>
        <v>5</v>
      </c>
      <c r="X56" s="8">
        <f>IF(I56="",SUMPRODUCT(($I$5:$I$69="")*($H$5:$H$69&gt;H56))+SUMPRODUCT((I$5:I56="")*($H$5:H56=H56)),"")</f>
        <v>44</v>
      </c>
      <c r="Y56" s="8">
        <f t="shared" si="14"/>
        <v>1</v>
      </c>
      <c r="Z56" s="8">
        <f t="shared" si="15"/>
        <v>0</v>
      </c>
      <c r="AA56" s="8">
        <f>IF(J56="",SUMPRODUCT(($J$5:$J$69="")*($H$5:$H$69&lt;H56))+SUMPRODUCT((J$5:J56="")*($H$5:H56=H56)),"")</f>
        <v>5</v>
      </c>
      <c r="AB56" s="8">
        <f>IF(J56="",SUMPRODUCT(($J$5:$J$69="")*($H$5:$H$69&gt;H56))+SUMPRODUCT((J$5:J56="")*($H$5:H56=H56)),"")</f>
        <v>44</v>
      </c>
      <c r="AC56" s="8">
        <f t="shared" si="16"/>
        <v>1</v>
      </c>
      <c r="AD56" s="8">
        <f t="shared" si="17"/>
        <v>0</v>
      </c>
      <c r="AE56" s="8" t="str">
        <f>IF(K56="",SUMPRODUCT(($K$5:$K$69="")*($H$5:$H$69&lt;H56))+SUMPRODUCT((K$5:K56="")*($H$5:H56=H56)),"")</f>
        <v/>
      </c>
      <c r="AF56" s="8" t="str">
        <f>IF(K56="",SUMPRODUCT(($K$5:$K$69="")*($H$5:$H$69&gt;H56))+SUMPRODUCT((K$5:K56="")*($H$5:H56=H56)),"")</f>
        <v/>
      </c>
      <c r="AG56" s="8">
        <f t="shared" si="18"/>
        <v>0</v>
      </c>
      <c r="AH56" s="8">
        <f t="shared" si="19"/>
        <v>0</v>
      </c>
    </row>
    <row r="57" spans="1:34" ht="15" customHeight="1" x14ac:dyDescent="0.25">
      <c r="A57" s="8" t="s">
        <v>242</v>
      </c>
      <c r="B57" s="8" t="s">
        <v>243</v>
      </c>
      <c r="C57" s="8" t="s">
        <v>185</v>
      </c>
      <c r="D57" s="8" t="s">
        <v>161</v>
      </c>
      <c r="E57" s="8" t="s">
        <v>128</v>
      </c>
      <c r="F57" s="16">
        <v>294751</v>
      </c>
      <c r="H57" s="13">
        <f t="shared" si="10"/>
        <v>294751</v>
      </c>
      <c r="I57" s="26"/>
      <c r="J57" s="26"/>
      <c r="K57" s="26"/>
      <c r="L57" s="8" t="s">
        <v>304</v>
      </c>
      <c r="M57" s="14">
        <f>Y57*Resumen!$C$6+AC57*Resumen!$C$7+AG57*Resumen!$C$9</f>
        <v>0</v>
      </c>
      <c r="N57" s="14">
        <f>Z57*Resumen!$C$6+AD57*Resumen!$C$7+AH57*Resumen!$C$9</f>
        <v>1</v>
      </c>
      <c r="O57" s="13">
        <f t="shared" si="11"/>
        <v>0</v>
      </c>
      <c r="P57" s="13">
        <f t="shared" si="12"/>
        <v>294751</v>
      </c>
      <c r="Q57" s="27"/>
      <c r="R57" s="27"/>
      <c r="S57" s="27"/>
      <c r="T57" s="28"/>
      <c r="U57" s="13">
        <f>H57*((Q57="Oficial")*Resumen!$C$6+(R57="Oficial")*Resumen!$C$7+(S57="Oficial")*Resumen!$C$9)</f>
        <v>0</v>
      </c>
      <c r="V57" s="8" t="str">
        <f t="shared" si="13"/>
        <v>Sin evidencia municipal</v>
      </c>
      <c r="W57" s="8">
        <f>IF(I57="",SUMPRODUCT(($I$5:$I$69="")*($H$5:$H$69&lt;H57))+SUMPRODUCT((I$5:I57="")*($H$5:H57=H57)),"")</f>
        <v>48</v>
      </c>
      <c r="X57" s="8">
        <f>IF(I57="",SUMPRODUCT(($I$5:$I$69="")*($H$5:$H$69&gt;H57))+SUMPRODUCT((I$5:I57="")*($H$5:H57=H57)),"")</f>
        <v>1</v>
      </c>
      <c r="Y57" s="8">
        <f t="shared" si="14"/>
        <v>0</v>
      </c>
      <c r="Z57" s="8">
        <f t="shared" si="15"/>
        <v>1</v>
      </c>
      <c r="AA57" s="8">
        <f>IF(J57="",SUMPRODUCT(($J$5:$J$69="")*($H$5:$H$69&lt;H57))+SUMPRODUCT((J$5:J57="")*($H$5:H57=H57)),"")</f>
        <v>48</v>
      </c>
      <c r="AB57" s="8">
        <f>IF(J57="",SUMPRODUCT(($J$5:$J$69="")*($H$5:$H$69&gt;H57))+SUMPRODUCT((J$5:J57="")*($H$5:H57=H57)),"")</f>
        <v>1</v>
      </c>
      <c r="AC57" s="8">
        <f t="shared" si="16"/>
        <v>0</v>
      </c>
      <c r="AD57" s="8">
        <f t="shared" si="17"/>
        <v>1</v>
      </c>
      <c r="AE57" s="8">
        <f>IF(K57="",SUMPRODUCT(($K$5:$K$69="")*($H$5:$H$69&lt;H57))+SUMPRODUCT((K$5:K57="")*($H$5:H57=H57)),"")</f>
        <v>39</v>
      </c>
      <c r="AF57" s="8">
        <f>IF(K57="",SUMPRODUCT(($K$5:$K$69="")*($H$5:$H$69&gt;H57))+SUMPRODUCT((K$5:K57="")*($H$5:H57=H57)),"")</f>
        <v>1</v>
      </c>
      <c r="AG57" s="8">
        <f t="shared" si="18"/>
        <v>0</v>
      </c>
      <c r="AH57" s="8">
        <f t="shared" si="19"/>
        <v>1</v>
      </c>
    </row>
    <row r="58" spans="1:34" ht="15" customHeight="1" x14ac:dyDescent="0.25">
      <c r="A58" s="8" t="s">
        <v>244</v>
      </c>
      <c r="B58" s="8" t="s">
        <v>245</v>
      </c>
      <c r="C58" s="8" t="s">
        <v>149</v>
      </c>
      <c r="D58" s="8" t="s">
        <v>161</v>
      </c>
      <c r="E58" s="8" t="s">
        <v>128</v>
      </c>
      <c r="F58" s="16">
        <v>26594</v>
      </c>
      <c r="H58" s="13">
        <f t="shared" si="10"/>
        <v>26594</v>
      </c>
      <c r="I58" s="26"/>
      <c r="J58" s="26"/>
      <c r="K58" s="21">
        <v>0</v>
      </c>
      <c r="L58" s="8" t="s">
        <v>301</v>
      </c>
      <c r="M58" s="14">
        <f>Y58*Resumen!$C$6+AC58*Resumen!$C$7+AG58*Resumen!$C$9</f>
        <v>0.9</v>
      </c>
      <c r="N58" s="14">
        <f>Z58*Resumen!$C$6+AD58*Resumen!$C$7+AH58*Resumen!$C$9</f>
        <v>0.9</v>
      </c>
      <c r="O58" s="13">
        <f t="shared" si="11"/>
        <v>23934.600000000002</v>
      </c>
      <c r="P58" s="13">
        <f t="shared" si="12"/>
        <v>23934.600000000002</v>
      </c>
      <c r="Q58" s="27"/>
      <c r="R58" s="27"/>
      <c r="S58" s="27"/>
      <c r="T58" s="28"/>
      <c r="U58" s="13">
        <f>H58*((Q58="Oficial")*Resumen!$C$6+(R58="Oficial")*Resumen!$C$7+(S58="Oficial")*Resumen!$C$9)</f>
        <v>0</v>
      </c>
      <c r="V58" s="8" t="str">
        <f t="shared" si="13"/>
        <v>Sin evidencia municipal</v>
      </c>
      <c r="W58" s="8">
        <f>IF(I58="",SUMPRODUCT(($I$5:$I$69="")*($H$5:$H$69&lt;H58))+SUMPRODUCT((I$5:I58="")*($H$5:H58=H58)),"")</f>
        <v>16</v>
      </c>
      <c r="X58" s="8">
        <f>IF(I58="",SUMPRODUCT(($I$5:$I$69="")*($H$5:$H$69&gt;H58))+SUMPRODUCT((I$5:I58="")*($H$5:H58=H58)),"")</f>
        <v>33</v>
      </c>
      <c r="Y58" s="8">
        <f t="shared" si="14"/>
        <v>1</v>
      </c>
      <c r="Z58" s="8">
        <f t="shared" si="15"/>
        <v>1</v>
      </c>
      <c r="AA58" s="8">
        <f>IF(J58="",SUMPRODUCT(($J$5:$J$69="")*($H$5:$H$69&lt;H58))+SUMPRODUCT((J$5:J58="")*($H$5:H58=H58)),"")</f>
        <v>16</v>
      </c>
      <c r="AB58" s="8">
        <f>IF(J58="",SUMPRODUCT(($J$5:$J$69="")*($H$5:$H$69&gt;H58))+SUMPRODUCT((J$5:J58="")*($H$5:H58=H58)),"")</f>
        <v>33</v>
      </c>
      <c r="AC58" s="8">
        <f t="shared" si="16"/>
        <v>1</v>
      </c>
      <c r="AD58" s="8">
        <f t="shared" si="17"/>
        <v>1</v>
      </c>
      <c r="AE58" s="8" t="str">
        <f>IF(K58="",SUMPRODUCT(($K$5:$K$69="")*($H$5:$H$69&lt;H58))+SUMPRODUCT((K$5:K58="")*($H$5:H58=H58)),"")</f>
        <v/>
      </c>
      <c r="AF58" s="8" t="str">
        <f>IF(K58="",SUMPRODUCT(($K$5:$K$69="")*($H$5:$H$69&gt;H58))+SUMPRODUCT((K$5:K58="")*($H$5:H58=H58)),"")</f>
        <v/>
      </c>
      <c r="AG58" s="8">
        <f t="shared" si="18"/>
        <v>0</v>
      </c>
      <c r="AH58" s="8">
        <f t="shared" si="19"/>
        <v>0</v>
      </c>
    </row>
    <row r="59" spans="1:34" ht="15" customHeight="1" x14ac:dyDescent="0.25">
      <c r="A59" s="8" t="s">
        <v>246</v>
      </c>
      <c r="B59" s="8" t="s">
        <v>247</v>
      </c>
      <c r="C59" s="8" t="s">
        <v>138</v>
      </c>
      <c r="D59" s="8" t="s">
        <v>161</v>
      </c>
      <c r="E59" s="8" t="s">
        <v>128</v>
      </c>
      <c r="F59" s="16">
        <v>56748</v>
      </c>
      <c r="H59" s="13">
        <f t="shared" si="10"/>
        <v>56748</v>
      </c>
      <c r="I59" s="26"/>
      <c r="J59" s="26"/>
      <c r="K59" s="26"/>
      <c r="L59" s="8" t="s">
        <v>304</v>
      </c>
      <c r="M59" s="14">
        <f>Y59*Resumen!$C$6+AC59*Resumen!$C$7+AG59*Resumen!$C$9</f>
        <v>0.9</v>
      </c>
      <c r="N59" s="14">
        <f>Z59*Resumen!$C$6+AD59*Resumen!$C$7+AH59*Resumen!$C$9</f>
        <v>0.9</v>
      </c>
      <c r="O59" s="13">
        <f t="shared" si="11"/>
        <v>51073.200000000004</v>
      </c>
      <c r="P59" s="13">
        <f t="shared" si="12"/>
        <v>51073.200000000004</v>
      </c>
      <c r="Q59" s="27"/>
      <c r="R59" s="27"/>
      <c r="S59" s="27"/>
      <c r="T59" s="28"/>
      <c r="U59" s="13">
        <f>H59*((Q59="Oficial")*Resumen!$C$6+(R59="Oficial")*Resumen!$C$7+(S59="Oficial")*Resumen!$C$9)</f>
        <v>0</v>
      </c>
      <c r="V59" s="8" t="str">
        <f t="shared" si="13"/>
        <v>Sin evidencia municipal</v>
      </c>
      <c r="W59" s="8">
        <f>IF(I59="",SUMPRODUCT(($I$5:$I$69="")*($H$5:$H$69&lt;H59))+SUMPRODUCT((I$5:I59="")*($H$5:H59=H59)),"")</f>
        <v>31</v>
      </c>
      <c r="X59" s="8">
        <f>IF(I59="",SUMPRODUCT(($I$5:$I$69="")*($H$5:$H$69&gt;H59))+SUMPRODUCT((I$5:I59="")*($H$5:H59=H59)),"")</f>
        <v>18</v>
      </c>
      <c r="Y59" s="8">
        <f t="shared" si="14"/>
        <v>1</v>
      </c>
      <c r="Z59" s="8">
        <f t="shared" si="15"/>
        <v>1</v>
      </c>
      <c r="AA59" s="8">
        <f>IF(J59="",SUMPRODUCT(($J$5:$J$69="")*($H$5:$H$69&lt;H59))+SUMPRODUCT((J$5:J59="")*($H$5:H59=H59)),"")</f>
        <v>31</v>
      </c>
      <c r="AB59" s="8">
        <f>IF(J59="",SUMPRODUCT(($J$5:$J$69="")*($H$5:$H$69&gt;H59))+SUMPRODUCT((J$5:J59="")*($H$5:H59=H59)),"")</f>
        <v>18</v>
      </c>
      <c r="AC59" s="8">
        <f t="shared" si="16"/>
        <v>1</v>
      </c>
      <c r="AD59" s="8">
        <f t="shared" si="17"/>
        <v>1</v>
      </c>
      <c r="AE59" s="8">
        <f>IF(K59="",SUMPRODUCT(($K$5:$K$69="")*($H$5:$H$69&lt;H59))+SUMPRODUCT((K$5:K59="")*($H$5:H59=H59)),"")</f>
        <v>22</v>
      </c>
      <c r="AF59" s="8">
        <f>IF(K59="",SUMPRODUCT(($K$5:$K$69="")*($H$5:$H$69&gt;H59))+SUMPRODUCT((K$5:K59="")*($H$5:H59=H59)),"")</f>
        <v>18</v>
      </c>
      <c r="AG59" s="8">
        <f t="shared" si="18"/>
        <v>0</v>
      </c>
      <c r="AH59" s="8">
        <f t="shared" si="19"/>
        <v>0</v>
      </c>
    </row>
    <row r="60" spans="1:34" ht="15" customHeight="1" x14ac:dyDescent="0.25">
      <c r="A60" s="8" t="s">
        <v>248</v>
      </c>
      <c r="B60" s="8" t="s">
        <v>249</v>
      </c>
      <c r="C60" s="8" t="s">
        <v>138</v>
      </c>
      <c r="D60" s="8" t="s">
        <v>161</v>
      </c>
      <c r="E60" s="8" t="s">
        <v>128</v>
      </c>
      <c r="F60" s="16">
        <v>71233</v>
      </c>
      <c r="H60" s="13">
        <f t="shared" si="10"/>
        <v>71233</v>
      </c>
      <c r="I60" s="26"/>
      <c r="J60" s="26"/>
      <c r="K60" s="21">
        <v>0</v>
      </c>
      <c r="L60" s="8" t="s">
        <v>301</v>
      </c>
      <c r="M60" s="14">
        <f>Y60*Resumen!$C$6+AC60*Resumen!$C$7+AG60*Resumen!$C$9</f>
        <v>0.9</v>
      </c>
      <c r="N60" s="14">
        <f>Z60*Resumen!$C$6+AD60*Resumen!$C$7+AH60*Resumen!$C$9</f>
        <v>0.9</v>
      </c>
      <c r="O60" s="13">
        <f t="shared" si="11"/>
        <v>64109.700000000004</v>
      </c>
      <c r="P60" s="13">
        <f t="shared" si="12"/>
        <v>64109.700000000004</v>
      </c>
      <c r="Q60" s="27"/>
      <c r="R60" s="27"/>
      <c r="S60" s="27"/>
      <c r="T60" s="28"/>
      <c r="U60" s="13">
        <f>H60*((Q60="Oficial")*Resumen!$C$6+(R60="Oficial")*Resumen!$C$7+(S60="Oficial")*Resumen!$C$9)</f>
        <v>0</v>
      </c>
      <c r="V60" s="8" t="str">
        <f t="shared" si="13"/>
        <v>Sin evidencia municipal</v>
      </c>
      <c r="W60" s="8">
        <f>IF(I60="",SUMPRODUCT(($I$5:$I$69="")*($H$5:$H$69&lt;H60))+SUMPRODUCT((I$5:I60="")*($H$5:H60=H60)),"")</f>
        <v>33</v>
      </c>
      <c r="X60" s="8">
        <f>IF(I60="",SUMPRODUCT(($I$5:$I$69="")*($H$5:$H$69&gt;H60))+SUMPRODUCT((I$5:I60="")*($H$5:H60=H60)),"")</f>
        <v>16</v>
      </c>
      <c r="Y60" s="8">
        <f t="shared" si="14"/>
        <v>1</v>
      </c>
      <c r="Z60" s="8">
        <f t="shared" si="15"/>
        <v>1</v>
      </c>
      <c r="AA60" s="8">
        <f>IF(J60="",SUMPRODUCT(($J$5:$J$69="")*($H$5:$H$69&lt;H60))+SUMPRODUCT((J$5:J60="")*($H$5:H60=H60)),"")</f>
        <v>33</v>
      </c>
      <c r="AB60" s="8">
        <f>IF(J60="",SUMPRODUCT(($J$5:$J$69="")*($H$5:$H$69&gt;H60))+SUMPRODUCT((J$5:J60="")*($H$5:H60=H60)),"")</f>
        <v>16</v>
      </c>
      <c r="AC60" s="8">
        <f t="shared" si="16"/>
        <v>1</v>
      </c>
      <c r="AD60" s="8">
        <f t="shared" si="17"/>
        <v>1</v>
      </c>
      <c r="AE60" s="8" t="str">
        <f>IF(K60="",SUMPRODUCT(($K$5:$K$69="")*($H$5:$H$69&lt;H60))+SUMPRODUCT((K$5:K60="")*($H$5:H60=H60)),"")</f>
        <v/>
      </c>
      <c r="AF60" s="8" t="str">
        <f>IF(K60="",SUMPRODUCT(($K$5:$K$69="")*($H$5:$H$69&gt;H60))+SUMPRODUCT((K$5:K60="")*($H$5:H60=H60)),"")</f>
        <v/>
      </c>
      <c r="AG60" s="8">
        <f t="shared" si="18"/>
        <v>0</v>
      </c>
      <c r="AH60" s="8">
        <f t="shared" si="19"/>
        <v>0</v>
      </c>
    </row>
    <row r="61" spans="1:34" ht="15" customHeight="1" x14ac:dyDescent="0.25">
      <c r="A61" s="8" t="s">
        <v>250</v>
      </c>
      <c r="B61" s="8" t="s">
        <v>251</v>
      </c>
      <c r="C61" s="8" t="s">
        <v>177</v>
      </c>
      <c r="D61" s="8" t="s">
        <v>161</v>
      </c>
      <c r="E61" s="8" t="s">
        <v>128</v>
      </c>
      <c r="F61" s="16">
        <v>192222</v>
      </c>
      <c r="H61" s="13">
        <f t="shared" si="10"/>
        <v>192222</v>
      </c>
      <c r="I61" s="26"/>
      <c r="J61" s="26"/>
      <c r="K61" s="21">
        <v>0</v>
      </c>
      <c r="L61" s="8" t="s">
        <v>301</v>
      </c>
      <c r="M61" s="14">
        <f>Y61*Resumen!$C$6+AC61*Resumen!$C$7+AG61*Resumen!$C$9</f>
        <v>0</v>
      </c>
      <c r="N61" s="14">
        <f>Z61*Resumen!$C$6+AD61*Resumen!$C$7+AH61*Resumen!$C$9</f>
        <v>0.9</v>
      </c>
      <c r="O61" s="13">
        <f t="shared" si="11"/>
        <v>0</v>
      </c>
      <c r="P61" s="13">
        <f t="shared" si="12"/>
        <v>172999.80000000002</v>
      </c>
      <c r="Q61" s="27"/>
      <c r="R61" s="27"/>
      <c r="S61" s="27"/>
      <c r="T61" s="28"/>
      <c r="U61" s="13">
        <f>H61*((Q61="Oficial")*Resumen!$C$6+(R61="Oficial")*Resumen!$C$7+(S61="Oficial")*Resumen!$C$9)</f>
        <v>0</v>
      </c>
      <c r="V61" s="8" t="str">
        <f t="shared" si="13"/>
        <v>Sin evidencia municipal</v>
      </c>
      <c r="W61" s="8">
        <f>IF(I61="",SUMPRODUCT(($I$5:$I$69="")*($H$5:$H$69&lt;H61))+SUMPRODUCT((I$5:I61="")*($H$5:H61=H61)),"")</f>
        <v>45</v>
      </c>
      <c r="X61" s="8">
        <f>IF(I61="",SUMPRODUCT(($I$5:$I$69="")*($H$5:$H$69&gt;H61))+SUMPRODUCT((I$5:I61="")*($H$5:H61=H61)),"")</f>
        <v>4</v>
      </c>
      <c r="Y61" s="8">
        <f t="shared" si="14"/>
        <v>0</v>
      </c>
      <c r="Z61" s="8">
        <f t="shared" si="15"/>
        <v>1</v>
      </c>
      <c r="AA61" s="8">
        <f>IF(J61="",SUMPRODUCT(($J$5:$J$69="")*($H$5:$H$69&lt;H61))+SUMPRODUCT((J$5:J61="")*($H$5:H61=H61)),"")</f>
        <v>45</v>
      </c>
      <c r="AB61" s="8">
        <f>IF(J61="",SUMPRODUCT(($J$5:$J$69="")*($H$5:$H$69&gt;H61))+SUMPRODUCT((J$5:J61="")*($H$5:H61=H61)),"")</f>
        <v>4</v>
      </c>
      <c r="AC61" s="8">
        <f t="shared" si="16"/>
        <v>0</v>
      </c>
      <c r="AD61" s="8">
        <f t="shared" si="17"/>
        <v>1</v>
      </c>
      <c r="AE61" s="8" t="str">
        <f>IF(K61="",SUMPRODUCT(($K$5:$K$69="")*($H$5:$H$69&lt;H61))+SUMPRODUCT((K$5:K61="")*($H$5:H61=H61)),"")</f>
        <v/>
      </c>
      <c r="AF61" s="8" t="str">
        <f>IF(K61="",SUMPRODUCT(($K$5:$K$69="")*($H$5:$H$69&gt;H61))+SUMPRODUCT((K$5:K61="")*($H$5:H61=H61)),"")</f>
        <v/>
      </c>
      <c r="AG61" s="8">
        <f t="shared" si="18"/>
        <v>0</v>
      </c>
      <c r="AH61" s="8">
        <f t="shared" si="19"/>
        <v>0</v>
      </c>
    </row>
    <row r="62" spans="1:34" ht="15" customHeight="1" x14ac:dyDescent="0.25">
      <c r="A62" s="8" t="s">
        <v>263</v>
      </c>
      <c r="B62" s="8" t="s">
        <v>264</v>
      </c>
      <c r="C62" s="8" t="s">
        <v>138</v>
      </c>
      <c r="D62" s="8" t="s">
        <v>161</v>
      </c>
      <c r="E62" s="8" t="s">
        <v>315</v>
      </c>
      <c r="F62" s="16">
        <v>33835.449999999997</v>
      </c>
      <c r="H62" s="13">
        <f t="shared" si="10"/>
        <v>33835.449999999997</v>
      </c>
      <c r="I62" s="26"/>
      <c r="J62" s="26"/>
      <c r="K62" s="26"/>
      <c r="L62" s="8" t="s">
        <v>304</v>
      </c>
      <c r="M62" s="14">
        <f>Y62*Resumen!$C$6+AC62*Resumen!$C$7+AG62*Resumen!$C$9</f>
        <v>1</v>
      </c>
      <c r="N62" s="14">
        <f>Z62*Resumen!$C$6+AD62*Resumen!$C$7+AH62*Resumen!$C$9</f>
        <v>0.9</v>
      </c>
      <c r="O62" s="13">
        <f t="shared" si="11"/>
        <v>33835.449999999997</v>
      </c>
      <c r="P62" s="13">
        <f t="shared" si="12"/>
        <v>30451.904999999999</v>
      </c>
      <c r="Q62" s="27"/>
      <c r="R62" s="27"/>
      <c r="S62" s="27"/>
      <c r="T62" s="28"/>
      <c r="U62" s="13">
        <f>H62*((Q62="Oficial")*Resumen!$C$6+(R62="Oficial")*Resumen!$C$7+(S62="Oficial")*Resumen!$C$9)</f>
        <v>0</v>
      </c>
      <c r="V62" s="8" t="str">
        <f t="shared" si="13"/>
        <v>Sin evidencia municipal</v>
      </c>
      <c r="W62" s="8">
        <f>IF(I62="",SUMPRODUCT(($I$5:$I$69="")*($H$5:$H$69&lt;H62))+SUMPRODUCT((I$5:I62="")*($H$5:H62=H62)),"")</f>
        <v>22</v>
      </c>
      <c r="X62" s="8">
        <f>IF(I62="",SUMPRODUCT(($I$5:$I$69="")*($H$5:$H$69&gt;H62))+SUMPRODUCT((I$5:I62="")*($H$5:H62=H62)),"")</f>
        <v>27</v>
      </c>
      <c r="Y62" s="8">
        <f t="shared" si="14"/>
        <v>1</v>
      </c>
      <c r="Z62" s="8">
        <f t="shared" si="15"/>
        <v>1</v>
      </c>
      <c r="AA62" s="8">
        <f>IF(J62="",SUMPRODUCT(($J$5:$J$69="")*($H$5:$H$69&lt;H62))+SUMPRODUCT((J$5:J62="")*($H$5:H62=H62)),"")</f>
        <v>22</v>
      </c>
      <c r="AB62" s="8">
        <f>IF(J62="",SUMPRODUCT(($J$5:$J$69="")*($H$5:$H$69&gt;H62))+SUMPRODUCT((J$5:J62="")*($H$5:H62=H62)),"")</f>
        <v>27</v>
      </c>
      <c r="AC62" s="8">
        <f t="shared" si="16"/>
        <v>1</v>
      </c>
      <c r="AD62" s="8">
        <f t="shared" si="17"/>
        <v>1</v>
      </c>
      <c r="AE62" s="8">
        <f>IF(K62="",SUMPRODUCT(($K$5:$K$69="")*($H$5:$H$69&lt;H62))+SUMPRODUCT((K$5:K62="")*($H$5:H62=H62)),"")</f>
        <v>12</v>
      </c>
      <c r="AF62" s="8">
        <f>IF(K62="",SUMPRODUCT(($K$5:$K$69="")*($H$5:$H$69&gt;H62))+SUMPRODUCT((K$5:K62="")*($H$5:H62=H62)),"")</f>
        <v>28</v>
      </c>
      <c r="AG62" s="8">
        <f t="shared" si="18"/>
        <v>1</v>
      </c>
      <c r="AH62" s="8">
        <f t="shared" si="19"/>
        <v>0</v>
      </c>
    </row>
    <row r="63" spans="1:34" ht="15" customHeight="1" x14ac:dyDescent="0.25">
      <c r="A63" s="8" t="s">
        <v>316</v>
      </c>
      <c r="B63" s="8" t="s">
        <v>317</v>
      </c>
      <c r="C63" s="8" t="s">
        <v>157</v>
      </c>
      <c r="D63" s="8" t="s">
        <v>318</v>
      </c>
      <c r="E63" s="8" t="s">
        <v>315</v>
      </c>
      <c r="F63" s="16">
        <v>141295.74</v>
      </c>
      <c r="H63" s="13">
        <f t="shared" si="10"/>
        <v>141295.74</v>
      </c>
      <c r="I63" s="26"/>
      <c r="J63" s="26"/>
      <c r="K63" s="26"/>
      <c r="L63" s="8" t="s">
        <v>304</v>
      </c>
      <c r="M63" s="14">
        <f>Y63*Resumen!$C$6+AC63*Resumen!$C$7+AG63*Resumen!$C$9</f>
        <v>0</v>
      </c>
      <c r="N63" s="14">
        <f>Z63*Resumen!$C$6+AD63*Resumen!$C$7+AH63*Resumen!$C$9</f>
        <v>1</v>
      </c>
      <c r="O63" s="13">
        <f t="shared" si="11"/>
        <v>0</v>
      </c>
      <c r="P63" s="13">
        <f t="shared" si="12"/>
        <v>141295.74</v>
      </c>
      <c r="Q63" s="27"/>
      <c r="R63" s="27"/>
      <c r="S63" s="27"/>
      <c r="T63" s="28"/>
      <c r="U63" s="13">
        <f>H63*((Q63="Oficial")*Resumen!$C$6+(R63="Oficial")*Resumen!$C$7+(S63="Oficial")*Resumen!$C$9)</f>
        <v>0</v>
      </c>
      <c r="V63" s="8" t="str">
        <f t="shared" si="13"/>
        <v>Sin evidencia municipal</v>
      </c>
      <c r="W63" s="8">
        <f>IF(I63="",SUMPRODUCT(($I$5:$I$69="")*($H$5:$H$69&lt;H63))+SUMPRODUCT((I$5:I63="")*($H$5:H63=H63)),"")</f>
        <v>41</v>
      </c>
      <c r="X63" s="8">
        <f>IF(I63="",SUMPRODUCT(($I$5:$I$69="")*($H$5:$H$69&gt;H63))+SUMPRODUCT((I$5:I63="")*($H$5:H63=H63)),"")</f>
        <v>8</v>
      </c>
      <c r="Y63" s="8">
        <f t="shared" si="14"/>
        <v>0</v>
      </c>
      <c r="Z63" s="8">
        <f t="shared" si="15"/>
        <v>1</v>
      </c>
      <c r="AA63" s="8">
        <f>IF(J63="",SUMPRODUCT(($J$5:$J$69="")*($H$5:$H$69&lt;H63))+SUMPRODUCT((J$5:J63="")*($H$5:H63=H63)),"")</f>
        <v>41</v>
      </c>
      <c r="AB63" s="8">
        <f>IF(J63="",SUMPRODUCT(($J$5:$J$69="")*($H$5:$H$69&gt;H63))+SUMPRODUCT((J$5:J63="")*($H$5:H63=H63)),"")</f>
        <v>8</v>
      </c>
      <c r="AC63" s="8">
        <f t="shared" si="16"/>
        <v>0</v>
      </c>
      <c r="AD63" s="8">
        <f t="shared" si="17"/>
        <v>1</v>
      </c>
      <c r="AE63" s="8">
        <f>IF(K63="",SUMPRODUCT(($K$5:$K$69="")*($H$5:$H$69&lt;H63))+SUMPRODUCT((K$5:K63="")*($H$5:H63=H63)),"")</f>
        <v>32</v>
      </c>
      <c r="AF63" s="8">
        <f>IF(K63="",SUMPRODUCT(($K$5:$K$69="")*($H$5:$H$69&gt;H63))+SUMPRODUCT((K$5:K63="")*($H$5:H63=H63)),"")</f>
        <v>8</v>
      </c>
      <c r="AG63" s="8">
        <f t="shared" si="18"/>
        <v>0</v>
      </c>
      <c r="AH63" s="8">
        <f t="shared" si="19"/>
        <v>1</v>
      </c>
    </row>
    <row r="64" spans="1:34" ht="15" customHeight="1" x14ac:dyDescent="0.25">
      <c r="A64" s="8" t="s">
        <v>265</v>
      </c>
      <c r="B64" s="8" t="s">
        <v>266</v>
      </c>
      <c r="C64" s="8" t="s">
        <v>180</v>
      </c>
      <c r="D64" s="8" t="s">
        <v>161</v>
      </c>
      <c r="E64" s="8" t="s">
        <v>315</v>
      </c>
      <c r="F64" s="16">
        <v>187269.68</v>
      </c>
      <c r="H64" s="13">
        <f t="shared" si="10"/>
        <v>187269.68</v>
      </c>
      <c r="I64" s="21">
        <v>0</v>
      </c>
      <c r="J64" s="21">
        <v>0</v>
      </c>
      <c r="K64" s="26"/>
      <c r="L64" s="8" t="s">
        <v>303</v>
      </c>
      <c r="M64" s="14">
        <f>Y64*Resumen!$C$6+AC64*Resumen!$C$7+AG64*Resumen!$C$9</f>
        <v>0</v>
      </c>
      <c r="N64" s="14">
        <f>Z64*Resumen!$C$6+AD64*Resumen!$C$7+AH64*Resumen!$C$9</f>
        <v>0.1</v>
      </c>
      <c r="O64" s="13">
        <f t="shared" si="11"/>
        <v>0</v>
      </c>
      <c r="P64" s="13">
        <f t="shared" si="12"/>
        <v>18726.968000000001</v>
      </c>
      <c r="Q64" s="27"/>
      <c r="R64" s="27"/>
      <c r="S64" s="27"/>
      <c r="T64" s="28"/>
      <c r="U64" s="13">
        <f>H64*((Q64="Oficial")*Resumen!$C$6+(R64="Oficial")*Resumen!$C$7+(S64="Oficial")*Resumen!$C$9)</f>
        <v>0</v>
      </c>
      <c r="V64" s="8" t="str">
        <f t="shared" si="13"/>
        <v>Sin evidencia municipal</v>
      </c>
      <c r="W64" s="8" t="str">
        <f>IF(I64="",SUMPRODUCT(($I$5:$I$69="")*($H$5:$H$69&lt;H64))+SUMPRODUCT((I$5:I64="")*($H$5:H64=H64)),"")</f>
        <v/>
      </c>
      <c r="X64" s="8" t="str">
        <f>IF(I64="",SUMPRODUCT(($I$5:$I$69="")*($H$5:$H$69&gt;H64))+SUMPRODUCT((I$5:I64="")*($H$5:H64=H64)),"")</f>
        <v/>
      </c>
      <c r="Y64" s="8">
        <f t="shared" si="14"/>
        <v>0</v>
      </c>
      <c r="Z64" s="8">
        <f t="shared" si="15"/>
        <v>0</v>
      </c>
      <c r="AA64" s="8" t="str">
        <f>IF(J64="",SUMPRODUCT(($J$5:$J$69="")*($H$5:$H$69&lt;H64))+SUMPRODUCT((J$5:J64="")*($H$5:H64=H64)),"")</f>
        <v/>
      </c>
      <c r="AB64" s="8" t="str">
        <f>IF(J64="",SUMPRODUCT(($J$5:$J$69="")*($H$5:$H$69&gt;H64))+SUMPRODUCT((J$5:J64="")*($H$5:H64=H64)),"")</f>
        <v/>
      </c>
      <c r="AC64" s="8">
        <f t="shared" si="16"/>
        <v>0</v>
      </c>
      <c r="AD64" s="8">
        <f t="shared" si="17"/>
        <v>0</v>
      </c>
      <c r="AE64" s="8">
        <f>IF(K64="",SUMPRODUCT(($K$5:$K$69="")*($H$5:$H$69&lt;H64))+SUMPRODUCT((K$5:K64="")*($H$5:H64=H64)),"")</f>
        <v>37</v>
      </c>
      <c r="AF64" s="8">
        <f>IF(K64="",SUMPRODUCT(($K$5:$K$69="")*($H$5:$H$69&gt;H64))+SUMPRODUCT((K$5:K64="")*($H$5:H64=H64)),"")</f>
        <v>3</v>
      </c>
      <c r="AG64" s="8">
        <f t="shared" si="18"/>
        <v>0</v>
      </c>
      <c r="AH64" s="8">
        <f t="shared" si="19"/>
        <v>1</v>
      </c>
    </row>
    <row r="65" spans="1:34" ht="15" customHeight="1" x14ac:dyDescent="0.25">
      <c r="A65" s="8" t="s">
        <v>319</v>
      </c>
      <c r="B65" s="8" t="s">
        <v>320</v>
      </c>
      <c r="C65" s="8" t="s">
        <v>138</v>
      </c>
      <c r="D65" s="8" t="s">
        <v>318</v>
      </c>
      <c r="E65" s="8" t="s">
        <v>315</v>
      </c>
      <c r="F65" s="16">
        <v>150377.84</v>
      </c>
      <c r="H65" s="13">
        <f t="shared" si="10"/>
        <v>150377.84</v>
      </c>
      <c r="I65" s="21">
        <v>0</v>
      </c>
      <c r="J65" s="21">
        <v>0</v>
      </c>
      <c r="K65" s="26"/>
      <c r="L65" s="8" t="s">
        <v>303</v>
      </c>
      <c r="M65" s="14">
        <f>Y65*Resumen!$C$6+AC65*Resumen!$C$7+AG65*Resumen!$C$9</f>
        <v>0</v>
      </c>
      <c r="N65" s="14">
        <f>Z65*Resumen!$C$6+AD65*Resumen!$C$7+AH65*Resumen!$C$9</f>
        <v>0.1</v>
      </c>
      <c r="O65" s="13">
        <f t="shared" si="11"/>
        <v>0</v>
      </c>
      <c r="P65" s="13">
        <f t="shared" si="12"/>
        <v>15037.784</v>
      </c>
      <c r="Q65" s="27"/>
      <c r="R65" s="27"/>
      <c r="S65" s="27"/>
      <c r="T65" s="28"/>
      <c r="U65" s="13">
        <f>H65*((Q65="Oficial")*Resumen!$C$6+(R65="Oficial")*Resumen!$C$7+(S65="Oficial")*Resumen!$C$9)</f>
        <v>0</v>
      </c>
      <c r="V65" s="8" t="str">
        <f t="shared" si="13"/>
        <v>Sin evidencia municipal</v>
      </c>
      <c r="W65" s="8" t="str">
        <f>IF(I65="",SUMPRODUCT(($I$5:$I$69="")*($H$5:$H$69&lt;H65))+SUMPRODUCT((I$5:I65="")*($H$5:H65=H65)),"")</f>
        <v/>
      </c>
      <c r="X65" s="8" t="str">
        <f>IF(I65="",SUMPRODUCT(($I$5:$I$69="")*($H$5:$H$69&gt;H65))+SUMPRODUCT((I$5:I65="")*($H$5:H65=H65)),"")</f>
        <v/>
      </c>
      <c r="Y65" s="8">
        <f t="shared" si="14"/>
        <v>0</v>
      </c>
      <c r="Z65" s="8">
        <f t="shared" si="15"/>
        <v>0</v>
      </c>
      <c r="AA65" s="8" t="str">
        <f>IF(J65="",SUMPRODUCT(($J$5:$J$69="")*($H$5:$H$69&lt;H65))+SUMPRODUCT((J$5:J65="")*($H$5:H65=H65)),"")</f>
        <v/>
      </c>
      <c r="AB65" s="8" t="str">
        <f>IF(J65="",SUMPRODUCT(($J$5:$J$69="")*($H$5:$H$69&gt;H65))+SUMPRODUCT((J$5:J65="")*($H$5:H65=H65)),"")</f>
        <v/>
      </c>
      <c r="AC65" s="8">
        <f t="shared" si="16"/>
        <v>0</v>
      </c>
      <c r="AD65" s="8">
        <f t="shared" si="17"/>
        <v>0</v>
      </c>
      <c r="AE65" s="8">
        <f>IF(K65="",SUMPRODUCT(($K$5:$K$69="")*($H$5:$H$69&lt;H65))+SUMPRODUCT((K$5:K65="")*($H$5:H65=H65)),"")</f>
        <v>34</v>
      </c>
      <c r="AF65" s="8">
        <f>IF(K65="",SUMPRODUCT(($K$5:$K$69="")*($H$5:$H$69&gt;H65))+SUMPRODUCT((K$5:K65="")*($H$5:H65=H65)),"")</f>
        <v>6</v>
      </c>
      <c r="AG65" s="8">
        <f t="shared" si="18"/>
        <v>0</v>
      </c>
      <c r="AH65" s="8">
        <f t="shared" si="19"/>
        <v>1</v>
      </c>
    </row>
    <row r="66" spans="1:34" ht="15" customHeight="1" x14ac:dyDescent="0.25">
      <c r="A66" s="8" t="s">
        <v>321</v>
      </c>
      <c r="B66" s="8" t="s">
        <v>322</v>
      </c>
      <c r="C66" s="8" t="s">
        <v>185</v>
      </c>
      <c r="D66" s="8" t="s">
        <v>318</v>
      </c>
      <c r="E66" s="8" t="s">
        <v>315</v>
      </c>
      <c r="F66" s="16">
        <v>126683.99</v>
      </c>
      <c r="H66" s="13">
        <f t="shared" si="10"/>
        <v>126683.99</v>
      </c>
      <c r="I66" s="26"/>
      <c r="J66" s="26"/>
      <c r="K66" s="26"/>
      <c r="L66" s="8" t="s">
        <v>304</v>
      </c>
      <c r="M66" s="14">
        <f>Y66*Resumen!$C$6+AC66*Resumen!$C$7+AG66*Resumen!$C$9</f>
        <v>0</v>
      </c>
      <c r="N66" s="14">
        <f>Z66*Resumen!$C$6+AD66*Resumen!$C$7+AH66*Resumen!$C$9</f>
        <v>1</v>
      </c>
      <c r="O66" s="13">
        <f t="shared" si="11"/>
        <v>0</v>
      </c>
      <c r="P66" s="13">
        <f t="shared" si="12"/>
        <v>126683.99</v>
      </c>
      <c r="Q66" s="27"/>
      <c r="R66" s="27"/>
      <c r="S66" s="27"/>
      <c r="T66" s="28"/>
      <c r="U66" s="13">
        <f>H66*((Q66="Oficial")*Resumen!$C$6+(R66="Oficial")*Resumen!$C$7+(S66="Oficial")*Resumen!$C$9)</f>
        <v>0</v>
      </c>
      <c r="V66" s="8" t="str">
        <f t="shared" si="13"/>
        <v>Sin evidencia municipal</v>
      </c>
      <c r="W66" s="8">
        <f>IF(I66="",SUMPRODUCT(($I$5:$I$69="")*($H$5:$H$69&lt;H66))+SUMPRODUCT((I$5:I66="")*($H$5:H66=H66)),"")</f>
        <v>39</v>
      </c>
      <c r="X66" s="8">
        <f>IF(I66="",SUMPRODUCT(($I$5:$I$69="")*($H$5:$H$69&gt;H66))+SUMPRODUCT((I$5:I66="")*($H$5:H66=H66)),"")</f>
        <v>10</v>
      </c>
      <c r="Y66" s="8">
        <f t="shared" si="14"/>
        <v>0</v>
      </c>
      <c r="Z66" s="8">
        <f t="shared" si="15"/>
        <v>1</v>
      </c>
      <c r="AA66" s="8">
        <f>IF(J66="",SUMPRODUCT(($J$5:$J$69="")*($H$5:$H$69&lt;H66))+SUMPRODUCT((J$5:J66="")*($H$5:H66=H66)),"")</f>
        <v>39</v>
      </c>
      <c r="AB66" s="8">
        <f>IF(J66="",SUMPRODUCT(($J$5:$J$69="")*($H$5:$H$69&gt;H66))+SUMPRODUCT((J$5:J66="")*($H$5:H66=H66)),"")</f>
        <v>10</v>
      </c>
      <c r="AC66" s="8">
        <f t="shared" si="16"/>
        <v>0</v>
      </c>
      <c r="AD66" s="8">
        <f t="shared" si="17"/>
        <v>1</v>
      </c>
      <c r="AE66" s="8">
        <f>IF(K66="",SUMPRODUCT(($K$5:$K$69="")*($H$5:$H$69&lt;H66))+SUMPRODUCT((K$5:K66="")*($H$5:H66=H66)),"")</f>
        <v>30</v>
      </c>
      <c r="AF66" s="8">
        <f>IF(K66="",SUMPRODUCT(($K$5:$K$69="")*($H$5:$H$69&gt;H66))+SUMPRODUCT((K$5:K66="")*($H$5:H66=H66)),"")</f>
        <v>10</v>
      </c>
      <c r="AG66" s="8">
        <f t="shared" si="18"/>
        <v>0</v>
      </c>
      <c r="AH66" s="8">
        <f t="shared" si="19"/>
        <v>1</v>
      </c>
    </row>
    <row r="67" spans="1:34" ht="15" customHeight="1" x14ac:dyDescent="0.25">
      <c r="A67" s="8" t="s">
        <v>323</v>
      </c>
      <c r="B67" s="8" t="s">
        <v>324</v>
      </c>
      <c r="C67" s="8" t="s">
        <v>157</v>
      </c>
      <c r="D67" s="8" t="s">
        <v>318</v>
      </c>
      <c r="E67" s="8" t="s">
        <v>315</v>
      </c>
      <c r="F67" s="16">
        <v>54029.88</v>
      </c>
      <c r="H67" s="13">
        <f t="shared" si="10"/>
        <v>54029.88</v>
      </c>
      <c r="I67" s="26"/>
      <c r="J67" s="26"/>
      <c r="K67" s="26"/>
      <c r="L67" s="8" t="s">
        <v>304</v>
      </c>
      <c r="M67" s="14">
        <f>Y67*Resumen!$C$6+AC67*Resumen!$C$7+AG67*Resumen!$C$9</f>
        <v>0.9</v>
      </c>
      <c r="N67" s="14">
        <f>Z67*Resumen!$C$6+AD67*Resumen!$C$7+AH67*Resumen!$C$9</f>
        <v>0.9</v>
      </c>
      <c r="O67" s="13">
        <f t="shared" si="11"/>
        <v>48626.892</v>
      </c>
      <c r="P67" s="13">
        <f t="shared" si="12"/>
        <v>48626.892</v>
      </c>
      <c r="Q67" s="27"/>
      <c r="R67" s="27"/>
      <c r="S67" s="27"/>
      <c r="T67" s="28"/>
      <c r="U67" s="13">
        <f>H67*((Q67="Oficial")*Resumen!$C$6+(R67="Oficial")*Resumen!$C$7+(S67="Oficial")*Resumen!$C$9)</f>
        <v>0</v>
      </c>
      <c r="V67" s="8" t="str">
        <f t="shared" si="13"/>
        <v>Sin evidencia municipal</v>
      </c>
      <c r="W67" s="8">
        <f>IF(I67="",SUMPRODUCT(($I$5:$I$69="")*($H$5:$H$69&lt;H67))+SUMPRODUCT((I$5:I67="")*($H$5:H67=H67)),"")</f>
        <v>30</v>
      </c>
      <c r="X67" s="8">
        <f>IF(I67="",SUMPRODUCT(($I$5:$I$69="")*($H$5:$H$69&gt;H67))+SUMPRODUCT((I$5:I67="")*($H$5:H67=H67)),"")</f>
        <v>19</v>
      </c>
      <c r="Y67" s="8">
        <f t="shared" si="14"/>
        <v>1</v>
      </c>
      <c r="Z67" s="8">
        <f t="shared" si="15"/>
        <v>1</v>
      </c>
      <c r="AA67" s="8">
        <f>IF(J67="",SUMPRODUCT(($J$5:$J$69="")*($H$5:$H$69&lt;H67))+SUMPRODUCT((J$5:J67="")*($H$5:H67=H67)),"")</f>
        <v>30</v>
      </c>
      <c r="AB67" s="8">
        <f>IF(J67="",SUMPRODUCT(($J$5:$J$69="")*($H$5:$H$69&gt;H67))+SUMPRODUCT((J$5:J67="")*($H$5:H67=H67)),"")</f>
        <v>19</v>
      </c>
      <c r="AC67" s="8">
        <f t="shared" si="16"/>
        <v>1</v>
      </c>
      <c r="AD67" s="8">
        <f t="shared" si="17"/>
        <v>1</v>
      </c>
      <c r="AE67" s="8">
        <f>IF(K67="",SUMPRODUCT(($K$5:$K$69="")*($H$5:$H$69&lt;H67))+SUMPRODUCT((K$5:K67="")*($H$5:H67=H67)),"")</f>
        <v>21</v>
      </c>
      <c r="AF67" s="8">
        <f>IF(K67="",SUMPRODUCT(($K$5:$K$69="")*($H$5:$H$69&gt;H67))+SUMPRODUCT((K$5:K67="")*($H$5:H67=H67)),"")</f>
        <v>19</v>
      </c>
      <c r="AG67" s="8">
        <f t="shared" si="18"/>
        <v>0</v>
      </c>
      <c r="AH67" s="8">
        <f t="shared" si="19"/>
        <v>0</v>
      </c>
    </row>
    <row r="68" spans="1:34" ht="15" customHeight="1" x14ac:dyDescent="0.25">
      <c r="A68" s="8" t="s">
        <v>325</v>
      </c>
      <c r="B68" s="8" t="s">
        <v>326</v>
      </c>
      <c r="C68" s="8" t="s">
        <v>185</v>
      </c>
      <c r="D68" s="8" t="s">
        <v>318</v>
      </c>
      <c r="E68" s="8" t="s">
        <v>315</v>
      </c>
      <c r="F68" s="16">
        <v>166272.99</v>
      </c>
      <c r="H68" s="13">
        <f t="shared" si="10"/>
        <v>166272.99</v>
      </c>
      <c r="I68" s="26"/>
      <c r="J68" s="26"/>
      <c r="K68" s="26"/>
      <c r="L68" s="8" t="s">
        <v>304</v>
      </c>
      <c r="M68" s="14">
        <f>Y68*Resumen!$C$6+AC68*Resumen!$C$7+AG68*Resumen!$C$9</f>
        <v>0</v>
      </c>
      <c r="N68" s="14">
        <f>Z68*Resumen!$C$6+AD68*Resumen!$C$7+AH68*Resumen!$C$9</f>
        <v>1</v>
      </c>
      <c r="O68" s="13">
        <f t="shared" si="11"/>
        <v>0</v>
      </c>
      <c r="P68" s="13">
        <f t="shared" si="12"/>
        <v>166272.99</v>
      </c>
      <c r="Q68" s="27"/>
      <c r="R68" s="27"/>
      <c r="S68" s="27"/>
      <c r="T68" s="28"/>
      <c r="U68" s="13">
        <f>H68*((Q68="Oficial")*Resumen!$C$6+(R68="Oficial")*Resumen!$C$7+(S68="Oficial")*Resumen!$C$9)</f>
        <v>0</v>
      </c>
      <c r="V68" s="8" t="str">
        <f t="shared" si="13"/>
        <v>Sin evidencia municipal</v>
      </c>
      <c r="W68" s="8">
        <f>IF(I68="",SUMPRODUCT(($I$5:$I$69="")*($H$5:$H$69&lt;H68))+SUMPRODUCT((I$5:I68="")*($H$5:H68=H68)),"")</f>
        <v>43</v>
      </c>
      <c r="X68" s="8">
        <f>IF(I68="",SUMPRODUCT(($I$5:$I$69="")*($H$5:$H$69&gt;H68))+SUMPRODUCT((I$5:I68="")*($H$5:H68=H68)),"")</f>
        <v>6</v>
      </c>
      <c r="Y68" s="8">
        <f t="shared" si="14"/>
        <v>0</v>
      </c>
      <c r="Z68" s="8">
        <f t="shared" si="15"/>
        <v>1</v>
      </c>
      <c r="AA68" s="8">
        <f>IF(J68="",SUMPRODUCT(($J$5:$J$69="")*($H$5:$H$69&lt;H68))+SUMPRODUCT((J$5:J68="")*($H$5:H68=H68)),"")</f>
        <v>43</v>
      </c>
      <c r="AB68" s="8">
        <f>IF(J68="",SUMPRODUCT(($J$5:$J$69="")*($H$5:$H$69&gt;H68))+SUMPRODUCT((J$5:J68="")*($H$5:H68=H68)),"")</f>
        <v>6</v>
      </c>
      <c r="AC68" s="8">
        <f t="shared" si="16"/>
        <v>0</v>
      </c>
      <c r="AD68" s="8">
        <f t="shared" si="17"/>
        <v>1</v>
      </c>
      <c r="AE68" s="8">
        <f>IF(K68="",SUMPRODUCT(($K$5:$K$69="")*($H$5:$H$69&lt;H68))+SUMPRODUCT((K$5:K68="")*($H$5:H68=H68)),"")</f>
        <v>35</v>
      </c>
      <c r="AF68" s="8">
        <f>IF(K68="",SUMPRODUCT(($K$5:$K$69="")*($H$5:$H$69&gt;H68))+SUMPRODUCT((K$5:K68="")*($H$5:H68=H68)),"")</f>
        <v>5</v>
      </c>
      <c r="AG68" s="8">
        <f t="shared" si="18"/>
        <v>0</v>
      </c>
      <c r="AH68" s="8">
        <f t="shared" si="19"/>
        <v>1</v>
      </c>
    </row>
    <row r="69" spans="1:34" ht="15" customHeight="1" x14ac:dyDescent="0.25">
      <c r="A69" s="8" t="s">
        <v>261</v>
      </c>
      <c r="B69" s="8" t="s">
        <v>262</v>
      </c>
      <c r="C69" s="8" t="s">
        <v>157</v>
      </c>
      <c r="D69" s="8" t="s">
        <v>158</v>
      </c>
      <c r="E69" s="8" t="s">
        <v>315</v>
      </c>
      <c r="F69" s="16">
        <v>44055.519999999997</v>
      </c>
      <c r="H69" s="13">
        <f t="shared" ref="H69:H100" si="20">IF(G69="",F69,G69)</f>
        <v>44055.519999999997</v>
      </c>
      <c r="I69" s="26"/>
      <c r="J69" s="26"/>
      <c r="K69" s="26"/>
      <c r="L69" s="8" t="s">
        <v>304</v>
      </c>
      <c r="M69" s="14">
        <f>Y69*Resumen!$C$6+AC69*Resumen!$C$7+AG69*Resumen!$C$9</f>
        <v>0.9</v>
      </c>
      <c r="N69" s="14">
        <f>Z69*Resumen!$C$6+AD69*Resumen!$C$7+AH69*Resumen!$C$9</f>
        <v>0.9</v>
      </c>
      <c r="O69" s="13">
        <f t="shared" si="11"/>
        <v>39649.968000000001</v>
      </c>
      <c r="P69" s="13">
        <f t="shared" si="12"/>
        <v>39649.968000000001</v>
      </c>
      <c r="Q69" s="27"/>
      <c r="R69" s="27"/>
      <c r="S69" s="27"/>
      <c r="T69" s="28"/>
      <c r="U69" s="13">
        <f>H69*((Q69="Oficial")*Resumen!$C$6+(R69="Oficial")*Resumen!$C$7+(S69="Oficial")*Resumen!$C$9)</f>
        <v>0</v>
      </c>
      <c r="V69" s="8" t="str">
        <f t="shared" si="13"/>
        <v>Sin evidencia municipal</v>
      </c>
      <c r="W69" s="8">
        <f>IF(I69="",SUMPRODUCT(($I$5:$I$69="")*($H$5:$H$69&lt;H69))+SUMPRODUCT((I$5:I69="")*($H$5:H69=H69)),"")</f>
        <v>27</v>
      </c>
      <c r="X69" s="8">
        <f>IF(I69="",SUMPRODUCT(($I$5:$I$69="")*($H$5:$H$69&gt;H69))+SUMPRODUCT((I$5:I69="")*($H$5:H69=H69)),"")</f>
        <v>22</v>
      </c>
      <c r="Y69" s="8">
        <f t="shared" si="14"/>
        <v>1</v>
      </c>
      <c r="Z69" s="8">
        <f t="shared" si="15"/>
        <v>1</v>
      </c>
      <c r="AA69" s="8">
        <f>IF(J69="",SUMPRODUCT(($J$5:$J$69="")*($H$5:$H$69&lt;H69))+SUMPRODUCT((J$5:J69="")*($H$5:H69=H69)),"")</f>
        <v>28</v>
      </c>
      <c r="AB69" s="8">
        <f>IF(J69="",SUMPRODUCT(($J$5:$J$69="")*($H$5:$H$69&gt;H69))+SUMPRODUCT((J$5:J69="")*($H$5:H69=H69)),"")</f>
        <v>21</v>
      </c>
      <c r="AC69" s="8">
        <f t="shared" si="16"/>
        <v>1</v>
      </c>
      <c r="AD69" s="8">
        <f t="shared" si="17"/>
        <v>1</v>
      </c>
      <c r="AE69" s="8">
        <f>IF(K69="",SUMPRODUCT(($K$5:$K$69="")*($H$5:$H$69&lt;H69))+SUMPRODUCT((K$5:K69="")*($H$5:H69=H69)),"")</f>
        <v>18</v>
      </c>
      <c r="AF69" s="8">
        <f>IF(K69="",SUMPRODUCT(($K$5:$K$69="")*($H$5:$H$69&gt;H69))+SUMPRODUCT((K$5:K69="")*($H$5:H69=H69)),"")</f>
        <v>22</v>
      </c>
      <c r="AG69" s="8">
        <f t="shared" si="18"/>
        <v>0</v>
      </c>
      <c r="AH69" s="8">
        <f t="shared" si="19"/>
        <v>0</v>
      </c>
    </row>
    <row r="70" spans="1:34" ht="15" customHeight="1" x14ac:dyDescent="0.25">
      <c r="A70" s="22"/>
      <c r="B70" s="10" t="s">
        <v>252</v>
      </c>
      <c r="C70" s="22"/>
      <c r="D70" s="22"/>
      <c r="E70" s="22"/>
      <c r="F70" s="23">
        <f t="shared" ref="F70:K70" si="21">SUM(F5:F69)</f>
        <v>4393721.09</v>
      </c>
      <c r="G70" s="23">
        <f t="shared" si="21"/>
        <v>782009.99</v>
      </c>
      <c r="H70" s="23">
        <f t="shared" si="21"/>
        <v>4393721.0799999991</v>
      </c>
      <c r="I70" s="10">
        <f t="shared" si="21"/>
        <v>14</v>
      </c>
      <c r="J70" s="10">
        <f t="shared" si="21"/>
        <v>14</v>
      </c>
      <c r="K70" s="10">
        <f t="shared" si="21"/>
        <v>11</v>
      </c>
      <c r="L70" s="10" t="str">
        <f>"Celdas sin dato: "&amp;COUNTBLANK(I5:K69)&amp;" de "&amp;195</f>
        <v>Celdas sin dato: 135 de 195</v>
      </c>
      <c r="M70" s="24">
        <f>IF(H70=0,0,O70/H70)</f>
        <v>0.40201179770837897</v>
      </c>
      <c r="N70" s="24">
        <f>IF(H70=0,0,P70/H70)</f>
        <v>0.83378555245022523</v>
      </c>
      <c r="O70" s="23">
        <f>SUM(O5:O69)</f>
        <v>1766327.71</v>
      </c>
      <c r="P70" s="23">
        <f>SUM(P5:P69)</f>
        <v>3663421.1579999994</v>
      </c>
      <c r="Q70" s="22"/>
      <c r="R70" s="22"/>
      <c r="S70" s="22"/>
      <c r="T70" s="22"/>
      <c r="U70" s="23">
        <f>SUM(U5:U69)</f>
        <v>0</v>
      </c>
      <c r="V70" s="10" t="str">
        <f>COUNTIF(V5:V69,"Con entregas verificadas")&amp;" con entregas verificadas de "&amp;COUNTA(B5:B69)</f>
        <v>15 con entregas verificadas de 65</v>
      </c>
    </row>
    <row r="72" spans="1:34" ht="15" customHeight="1" x14ac:dyDescent="0.25">
      <c r="B72" s="7" t="s">
        <v>327</v>
      </c>
      <c r="I72" s="12">
        <v>49</v>
      </c>
      <c r="J72" s="12">
        <v>47</v>
      </c>
      <c r="K72" s="12">
        <v>27</v>
      </c>
      <c r="L72" s="6" t="s">
        <v>328</v>
      </c>
    </row>
    <row r="73" spans="1:34" ht="15" customHeight="1" x14ac:dyDescent="0.25">
      <c r="B73" s="7" t="s">
        <v>329</v>
      </c>
      <c r="I73" s="11">
        <f>I72-COUNTIF(I5:I69,1)</f>
        <v>35</v>
      </c>
      <c r="J73" s="11">
        <f>J72-COUNTIF(J5:J69,1)</f>
        <v>33</v>
      </c>
      <c r="K73" s="11">
        <f>K72-COUNTIF(K5:K69,1)</f>
        <v>16</v>
      </c>
      <c r="L73" s="6" t="s">
        <v>330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4"/>
  <sheetViews>
    <sheetView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5" width="10" style="4" customWidth="1"/>
    <col min="6" max="8" width="14" style="4" customWidth="1"/>
    <col min="9" max="11" width="13" style="4" customWidth="1"/>
    <col min="12" max="12" width="48" style="4" customWidth="1"/>
    <col min="13" max="19" width="13" style="4" customWidth="1"/>
    <col min="20" max="20" width="40" style="4" customWidth="1"/>
    <col min="21" max="21" width="13" style="4" customWidth="1"/>
    <col min="22" max="22" width="24" style="4" customWidth="1"/>
  </cols>
  <sheetData>
    <row r="1" spans="1:22" ht="15" customHeight="1" x14ac:dyDescent="0.25">
      <c r="A1" s="5" t="s">
        <v>331</v>
      </c>
    </row>
    <row r="2" spans="1:22" ht="15" customHeight="1" x14ac:dyDescent="0.25">
      <c r="A2" s="6" t="s">
        <v>272</v>
      </c>
    </row>
    <row r="4" spans="1:22" ht="51.75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101</v>
      </c>
      <c r="F4" s="20" t="s">
        <v>102</v>
      </c>
      <c r="G4" s="20" t="s">
        <v>103</v>
      </c>
      <c r="H4" s="20" t="s">
        <v>104</v>
      </c>
      <c r="I4" s="20" t="s">
        <v>273</v>
      </c>
      <c r="J4" s="20" t="s">
        <v>274</v>
      </c>
      <c r="K4" s="20" t="s">
        <v>275</v>
      </c>
      <c r="L4" s="20" t="s">
        <v>276</v>
      </c>
      <c r="M4" s="20" t="s">
        <v>277</v>
      </c>
      <c r="N4" s="20" t="s">
        <v>278</v>
      </c>
      <c r="O4" s="20" t="s">
        <v>279</v>
      </c>
      <c r="P4" s="20" t="s">
        <v>280</v>
      </c>
      <c r="Q4" s="20" t="s">
        <v>281</v>
      </c>
      <c r="R4" s="20" t="s">
        <v>282</v>
      </c>
      <c r="S4" s="20" t="s">
        <v>283</v>
      </c>
      <c r="T4" s="20" t="s">
        <v>284</v>
      </c>
      <c r="U4" s="20" t="s">
        <v>285</v>
      </c>
      <c r="V4" s="20" t="s">
        <v>116</v>
      </c>
    </row>
    <row r="5" spans="1:22" ht="23.85" customHeight="1" x14ac:dyDescent="0.25">
      <c r="A5" s="8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16">
        <v>87.1</v>
      </c>
      <c r="G5" s="16">
        <v>99.63</v>
      </c>
      <c r="H5" s="13">
        <f t="shared" ref="H5:H36" si="0">IF(G5="",F5,G5)</f>
        <v>99.63</v>
      </c>
      <c r="I5" s="21">
        <v>1</v>
      </c>
      <c r="J5" s="21">
        <v>1</v>
      </c>
      <c r="K5" s="21">
        <v>1</v>
      </c>
      <c r="L5" s="8" t="s">
        <v>332</v>
      </c>
      <c r="M5" s="14">
        <f>IF(I5="",0,I5)*Resumen!$C$6+IF(J5="",0,J5)*Resumen!$C$7+IF(K5="",0,K5)*Resumen!$C$9</f>
        <v>1</v>
      </c>
      <c r="N5" s="14">
        <f>IF(I5="",1,I5)*Resumen!$C$6+IF(J5="",1,J5)*Resumen!$C$7+IF(K5="",1,K5)*Resumen!$C$9</f>
        <v>1</v>
      </c>
      <c r="O5" s="13">
        <f t="shared" ref="O5:O36" si="1">H5*M5</f>
        <v>99.63</v>
      </c>
      <c r="P5" s="13">
        <f t="shared" ref="P5:P36" si="2">H5*N5</f>
        <v>99.63</v>
      </c>
      <c r="Q5" s="21" t="s">
        <v>299</v>
      </c>
      <c r="R5" s="21" t="s">
        <v>299</v>
      </c>
      <c r="S5" s="21" t="s">
        <v>299</v>
      </c>
      <c r="T5" s="28"/>
      <c r="U5" s="13">
        <f>H5*((Q5="Oficial")*Resumen!$C$6+(R5="Oficial")*Resumen!$C$7+(S5="Oficial")*Resumen!$C$9)</f>
        <v>0</v>
      </c>
      <c r="V5" s="8" t="str">
        <f t="shared" ref="V5:V36" si="3">IF(COUNTIF(I5:K5,1)&gt;0,"Con entregas verificadas",IF(COUNTBLANK(I5:K5)&gt;0,"Sin evidencia municipal","Sin entregas"))</f>
        <v>Con entregas verificadas</v>
      </c>
    </row>
    <row r="6" spans="1:22" ht="23.85" customHeight="1" x14ac:dyDescent="0.25">
      <c r="A6" s="8" t="s">
        <v>130</v>
      </c>
      <c r="B6" s="8" t="s">
        <v>131</v>
      </c>
      <c r="C6" s="8" t="s">
        <v>126</v>
      </c>
      <c r="D6" s="8" t="s">
        <v>127</v>
      </c>
      <c r="E6" s="8" t="s">
        <v>128</v>
      </c>
      <c r="F6" s="16">
        <v>33.799999999999997</v>
      </c>
      <c r="H6" s="13">
        <f t="shared" si="0"/>
        <v>33.799999999999997</v>
      </c>
      <c r="I6" s="21">
        <v>1</v>
      </c>
      <c r="J6" s="21">
        <v>1</v>
      </c>
      <c r="K6" s="21">
        <v>1</v>
      </c>
      <c r="L6" s="8" t="s">
        <v>332</v>
      </c>
      <c r="M6" s="14">
        <f>IF(I6="",0,I6)*Resumen!$C$6+IF(J6="",0,J6)*Resumen!$C$7+IF(K6="",0,K6)*Resumen!$C$9</f>
        <v>1</v>
      </c>
      <c r="N6" s="14">
        <f>IF(I6="",1,I6)*Resumen!$C$6+IF(J6="",1,J6)*Resumen!$C$7+IF(K6="",1,K6)*Resumen!$C$9</f>
        <v>1</v>
      </c>
      <c r="O6" s="13">
        <f t="shared" si="1"/>
        <v>33.799999999999997</v>
      </c>
      <c r="P6" s="13">
        <f t="shared" si="2"/>
        <v>33.799999999999997</v>
      </c>
      <c r="Q6" s="21" t="s">
        <v>333</v>
      </c>
      <c r="R6" s="21" t="s">
        <v>333</v>
      </c>
      <c r="S6" s="21" t="s">
        <v>333</v>
      </c>
      <c r="T6" s="28"/>
      <c r="U6" s="13">
        <f>H6*((Q6="Oficial")*Resumen!$C$6+(R6="Oficial")*Resumen!$C$7+(S6="Oficial")*Resumen!$C$9)</f>
        <v>0</v>
      </c>
      <c r="V6" s="8" t="str">
        <f t="shared" si="3"/>
        <v>Con entregas verificadas</v>
      </c>
    </row>
    <row r="7" spans="1:22" ht="23.85" customHeight="1" x14ac:dyDescent="0.25">
      <c r="A7" s="8" t="s">
        <v>132</v>
      </c>
      <c r="B7" s="8" t="s">
        <v>133</v>
      </c>
      <c r="C7" s="8" t="s">
        <v>126</v>
      </c>
      <c r="D7" s="8" t="s">
        <v>127</v>
      </c>
      <c r="E7" s="8" t="s">
        <v>128</v>
      </c>
      <c r="F7" s="16">
        <v>300.3</v>
      </c>
      <c r="G7" s="16">
        <v>243.43</v>
      </c>
      <c r="H7" s="13">
        <f t="shared" si="0"/>
        <v>243.43</v>
      </c>
      <c r="I7" s="21">
        <v>1</v>
      </c>
      <c r="J7" s="21">
        <v>1</v>
      </c>
      <c r="K7" s="21">
        <v>1</v>
      </c>
      <c r="L7" s="8" t="s">
        <v>332</v>
      </c>
      <c r="M7" s="14">
        <f>IF(I7="",0,I7)*Resumen!$C$6+IF(J7="",0,J7)*Resumen!$C$7+IF(K7="",0,K7)*Resumen!$C$9</f>
        <v>1</v>
      </c>
      <c r="N7" s="14">
        <f>IF(I7="",1,I7)*Resumen!$C$6+IF(J7="",1,J7)*Resumen!$C$7+IF(K7="",1,K7)*Resumen!$C$9</f>
        <v>1</v>
      </c>
      <c r="O7" s="13">
        <f t="shared" si="1"/>
        <v>243.43</v>
      </c>
      <c r="P7" s="13">
        <f t="shared" si="2"/>
        <v>243.43</v>
      </c>
      <c r="Q7" s="21" t="s">
        <v>299</v>
      </c>
      <c r="R7" s="21" t="s">
        <v>299</v>
      </c>
      <c r="S7" s="21" t="s">
        <v>299</v>
      </c>
      <c r="T7" s="28"/>
      <c r="U7" s="13">
        <f>H7*((Q7="Oficial")*Resumen!$C$6+(R7="Oficial")*Resumen!$C$7+(S7="Oficial")*Resumen!$C$9)</f>
        <v>0</v>
      </c>
      <c r="V7" s="8" t="str">
        <f t="shared" si="3"/>
        <v>Con entregas verificadas</v>
      </c>
    </row>
    <row r="8" spans="1:22" ht="23.85" customHeight="1" x14ac:dyDescent="0.25">
      <c r="A8" s="8" t="s">
        <v>136</v>
      </c>
      <c r="B8" s="8" t="s">
        <v>137</v>
      </c>
      <c r="C8" s="8" t="s">
        <v>138</v>
      </c>
      <c r="D8" s="8" t="s">
        <v>139</v>
      </c>
      <c r="E8" s="8" t="s">
        <v>128</v>
      </c>
      <c r="F8" s="16">
        <v>83.2</v>
      </c>
      <c r="H8" s="13">
        <f t="shared" si="0"/>
        <v>83.2</v>
      </c>
      <c r="I8" s="21">
        <v>1</v>
      </c>
      <c r="J8" s="21">
        <v>1</v>
      </c>
      <c r="K8" s="21">
        <v>1</v>
      </c>
      <c r="L8" s="8" t="s">
        <v>332</v>
      </c>
      <c r="M8" s="14">
        <f>IF(I8="",0,I8)*Resumen!$C$6+IF(J8="",0,J8)*Resumen!$C$7+IF(K8="",0,K8)*Resumen!$C$9</f>
        <v>1</v>
      </c>
      <c r="N8" s="14">
        <f>IF(I8="",1,I8)*Resumen!$C$6+IF(J8="",1,J8)*Resumen!$C$7+IF(K8="",1,K8)*Resumen!$C$9</f>
        <v>1</v>
      </c>
      <c r="O8" s="13">
        <f t="shared" si="1"/>
        <v>83.2</v>
      </c>
      <c r="P8" s="13">
        <f t="shared" si="2"/>
        <v>83.2</v>
      </c>
      <c r="Q8" s="21" t="s">
        <v>333</v>
      </c>
      <c r="R8" s="21" t="s">
        <v>333</v>
      </c>
      <c r="S8" s="27"/>
      <c r="T8" s="28"/>
      <c r="U8" s="13">
        <f>H8*((Q8="Oficial")*Resumen!$C$6+(R8="Oficial")*Resumen!$C$7+(S8="Oficial")*Resumen!$C$9)</f>
        <v>0</v>
      </c>
      <c r="V8" s="8" t="str">
        <f t="shared" si="3"/>
        <v>Con entregas verificadas</v>
      </c>
    </row>
    <row r="9" spans="1:22" ht="23.85" customHeight="1" x14ac:dyDescent="0.25">
      <c r="A9" s="8" t="s">
        <v>143</v>
      </c>
      <c r="B9" s="8" t="s">
        <v>144</v>
      </c>
      <c r="C9" s="8" t="s">
        <v>126</v>
      </c>
      <c r="D9" s="8" t="s">
        <v>142</v>
      </c>
      <c r="E9" s="8" t="s">
        <v>128</v>
      </c>
      <c r="F9" s="16">
        <v>91</v>
      </c>
      <c r="H9" s="13">
        <f t="shared" si="0"/>
        <v>91</v>
      </c>
      <c r="I9" s="21">
        <v>1</v>
      </c>
      <c r="J9" s="21">
        <v>1</v>
      </c>
      <c r="K9" s="21">
        <v>1</v>
      </c>
      <c r="L9" s="8" t="s">
        <v>332</v>
      </c>
      <c r="M9" s="14">
        <f>IF(I9="",0,I9)*Resumen!$C$6+IF(J9="",0,J9)*Resumen!$C$7+IF(K9="",0,K9)*Resumen!$C$9</f>
        <v>1</v>
      </c>
      <c r="N9" s="14">
        <f>IF(I9="",1,I9)*Resumen!$C$6+IF(J9="",1,J9)*Resumen!$C$7+IF(K9="",1,K9)*Resumen!$C$9</f>
        <v>1</v>
      </c>
      <c r="O9" s="13">
        <f t="shared" si="1"/>
        <v>91</v>
      </c>
      <c r="P9" s="13">
        <f t="shared" si="2"/>
        <v>91</v>
      </c>
      <c r="Q9" s="21" t="s">
        <v>333</v>
      </c>
      <c r="R9" s="21" t="s">
        <v>333</v>
      </c>
      <c r="S9" s="27"/>
      <c r="T9" s="28"/>
      <c r="U9" s="13">
        <f>H9*((Q9="Oficial")*Resumen!$C$6+(R9="Oficial")*Resumen!$C$7+(S9="Oficial")*Resumen!$C$9)</f>
        <v>0</v>
      </c>
      <c r="V9" s="8" t="str">
        <f t="shared" si="3"/>
        <v>Con entregas verificadas</v>
      </c>
    </row>
    <row r="10" spans="1:22" ht="23.85" customHeight="1" x14ac:dyDescent="0.25">
      <c r="A10" s="8" t="s">
        <v>254</v>
      </c>
      <c r="B10" s="8" t="s">
        <v>255</v>
      </c>
      <c r="C10" s="8" t="s">
        <v>256</v>
      </c>
      <c r="D10" s="8" t="s">
        <v>257</v>
      </c>
      <c r="E10" s="8" t="s">
        <v>128</v>
      </c>
      <c r="F10" s="16">
        <v>63.7</v>
      </c>
      <c r="H10" s="13">
        <f t="shared" si="0"/>
        <v>63.7</v>
      </c>
      <c r="I10" s="21">
        <v>1</v>
      </c>
      <c r="J10" s="21">
        <v>1</v>
      </c>
      <c r="K10" s="21">
        <v>0</v>
      </c>
      <c r="L10" s="8" t="s">
        <v>332</v>
      </c>
      <c r="M10" s="14">
        <f>IF(I10="",0,I10)*Resumen!$C$6+IF(J10="",0,J10)*Resumen!$C$7+IF(K10="",0,K10)*Resumen!$C$9</f>
        <v>0.9</v>
      </c>
      <c r="N10" s="14">
        <f>IF(I10="",1,I10)*Resumen!$C$6+IF(J10="",1,J10)*Resumen!$C$7+IF(K10="",1,K10)*Resumen!$C$9</f>
        <v>0.9</v>
      </c>
      <c r="O10" s="13">
        <f t="shared" si="1"/>
        <v>57.330000000000005</v>
      </c>
      <c r="P10" s="13">
        <f t="shared" si="2"/>
        <v>57.330000000000005</v>
      </c>
      <c r="Q10" s="27"/>
      <c r="R10" s="21" t="s">
        <v>333</v>
      </c>
      <c r="S10" s="27"/>
      <c r="T10" s="8" t="s">
        <v>334</v>
      </c>
      <c r="U10" s="13">
        <f>H10*((Q10="Oficial")*Resumen!$C$6+(R10="Oficial")*Resumen!$C$7+(S10="Oficial")*Resumen!$C$9)</f>
        <v>0</v>
      </c>
      <c r="V10" s="8" t="str">
        <f t="shared" si="3"/>
        <v>Con entregas verificadas</v>
      </c>
    </row>
    <row r="11" spans="1:22" ht="23.85" customHeight="1" x14ac:dyDescent="0.25">
      <c r="A11" s="8" t="s">
        <v>147</v>
      </c>
      <c r="B11" s="8" t="s">
        <v>148</v>
      </c>
      <c r="C11" s="8" t="s">
        <v>149</v>
      </c>
      <c r="D11" s="8" t="s">
        <v>150</v>
      </c>
      <c r="E11" s="8" t="s">
        <v>128</v>
      </c>
      <c r="F11" s="16">
        <v>161.19999999999999</v>
      </c>
      <c r="H11" s="13">
        <f t="shared" si="0"/>
        <v>161.19999999999999</v>
      </c>
      <c r="I11" s="21">
        <v>1</v>
      </c>
      <c r="J11" s="21">
        <v>1</v>
      </c>
      <c r="K11" s="21">
        <v>1</v>
      </c>
      <c r="L11" s="8" t="s">
        <v>332</v>
      </c>
      <c r="M11" s="14">
        <f>IF(I11="",0,I11)*Resumen!$C$6+IF(J11="",0,J11)*Resumen!$C$7+IF(K11="",0,K11)*Resumen!$C$9</f>
        <v>1</v>
      </c>
      <c r="N11" s="14">
        <f>IF(I11="",1,I11)*Resumen!$C$6+IF(J11="",1,J11)*Resumen!$C$7+IF(K11="",1,K11)*Resumen!$C$9</f>
        <v>1</v>
      </c>
      <c r="O11" s="13">
        <f t="shared" si="1"/>
        <v>161.19999999999999</v>
      </c>
      <c r="P11" s="13">
        <f t="shared" si="2"/>
        <v>161.19999999999999</v>
      </c>
      <c r="Q11" s="21" t="s">
        <v>333</v>
      </c>
      <c r="R11" s="21" t="s">
        <v>333</v>
      </c>
      <c r="S11" s="27"/>
      <c r="T11" s="28"/>
      <c r="U11" s="13">
        <f>H11*((Q11="Oficial")*Resumen!$C$6+(R11="Oficial")*Resumen!$C$7+(S11="Oficial")*Resumen!$C$9)</f>
        <v>0</v>
      </c>
      <c r="V11" s="8" t="str">
        <f t="shared" si="3"/>
        <v>Con entregas verificadas</v>
      </c>
    </row>
    <row r="12" spans="1:22" ht="23.85" customHeight="1" x14ac:dyDescent="0.25">
      <c r="A12" s="8" t="s">
        <v>151</v>
      </c>
      <c r="B12" s="8" t="s">
        <v>152</v>
      </c>
      <c r="C12" s="8" t="s">
        <v>149</v>
      </c>
      <c r="D12" s="8" t="s">
        <v>150</v>
      </c>
      <c r="E12" s="8" t="s">
        <v>128</v>
      </c>
      <c r="F12" s="16">
        <v>331.5</v>
      </c>
      <c r="H12" s="13">
        <f t="shared" si="0"/>
        <v>331.5</v>
      </c>
      <c r="I12" s="21">
        <v>1</v>
      </c>
      <c r="J12" s="21">
        <v>1</v>
      </c>
      <c r="K12" s="21">
        <v>1</v>
      </c>
      <c r="L12" s="8" t="s">
        <v>332</v>
      </c>
      <c r="M12" s="14">
        <f>IF(I12="",0,I12)*Resumen!$C$6+IF(J12="",0,J12)*Resumen!$C$7+IF(K12="",0,K12)*Resumen!$C$9</f>
        <v>1</v>
      </c>
      <c r="N12" s="14">
        <f>IF(I12="",1,I12)*Resumen!$C$6+IF(J12="",1,J12)*Resumen!$C$7+IF(K12="",1,K12)*Resumen!$C$9</f>
        <v>1</v>
      </c>
      <c r="O12" s="13">
        <f t="shared" si="1"/>
        <v>331.5</v>
      </c>
      <c r="P12" s="13">
        <f t="shared" si="2"/>
        <v>331.5</v>
      </c>
      <c r="Q12" s="21" t="s">
        <v>333</v>
      </c>
      <c r="R12" s="21" t="s">
        <v>333</v>
      </c>
      <c r="S12" s="27"/>
      <c r="T12" s="28"/>
      <c r="U12" s="13">
        <f>H12*((Q12="Oficial")*Resumen!$C$6+(R12="Oficial")*Resumen!$C$7+(S12="Oficial")*Resumen!$C$9)</f>
        <v>0</v>
      </c>
      <c r="V12" s="8" t="str">
        <f t="shared" si="3"/>
        <v>Con entregas verificadas</v>
      </c>
    </row>
    <row r="13" spans="1:22" ht="23.85" customHeight="1" x14ac:dyDescent="0.25">
      <c r="A13" s="8" t="s">
        <v>153</v>
      </c>
      <c r="B13" s="8" t="s">
        <v>154</v>
      </c>
      <c r="C13" s="8" t="s">
        <v>149</v>
      </c>
      <c r="D13" s="8" t="s">
        <v>150</v>
      </c>
      <c r="E13" s="8" t="s">
        <v>128</v>
      </c>
      <c r="F13" s="16">
        <v>297.7</v>
      </c>
      <c r="G13" s="16">
        <v>371.25</v>
      </c>
      <c r="H13" s="13">
        <f t="shared" si="0"/>
        <v>371.25</v>
      </c>
      <c r="I13" s="21">
        <v>1</v>
      </c>
      <c r="J13" s="21">
        <v>1</v>
      </c>
      <c r="K13" s="21">
        <v>1</v>
      </c>
      <c r="L13" s="8" t="s">
        <v>332</v>
      </c>
      <c r="M13" s="14">
        <f>IF(I13="",0,I13)*Resumen!$C$6+IF(J13="",0,J13)*Resumen!$C$7+IF(K13="",0,K13)*Resumen!$C$9</f>
        <v>1</v>
      </c>
      <c r="N13" s="14">
        <f>IF(I13="",1,I13)*Resumen!$C$6+IF(J13="",1,J13)*Resumen!$C$7+IF(K13="",1,K13)*Resumen!$C$9</f>
        <v>1</v>
      </c>
      <c r="O13" s="13">
        <f t="shared" si="1"/>
        <v>371.25</v>
      </c>
      <c r="P13" s="13">
        <f t="shared" si="2"/>
        <v>371.25</v>
      </c>
      <c r="Q13" s="21" t="s">
        <v>299</v>
      </c>
      <c r="R13" s="21" t="s">
        <v>299</v>
      </c>
      <c r="S13" s="21" t="s">
        <v>299</v>
      </c>
      <c r="T13" s="28"/>
      <c r="U13" s="13">
        <f>H13*((Q13="Oficial")*Resumen!$C$6+(R13="Oficial")*Resumen!$C$7+(S13="Oficial")*Resumen!$C$9)</f>
        <v>0</v>
      </c>
      <c r="V13" s="8" t="str">
        <f t="shared" si="3"/>
        <v>Con entregas verificadas</v>
      </c>
    </row>
    <row r="14" spans="1:22" ht="23.85" customHeight="1" x14ac:dyDescent="0.25">
      <c r="A14" s="8" t="s">
        <v>258</v>
      </c>
      <c r="B14" s="8" t="s">
        <v>259</v>
      </c>
      <c r="C14" s="8" t="s">
        <v>157</v>
      </c>
      <c r="D14" s="8" t="s">
        <v>260</v>
      </c>
      <c r="E14" s="8" t="s">
        <v>128</v>
      </c>
      <c r="F14" s="16">
        <v>374.4</v>
      </c>
      <c r="H14" s="13">
        <f t="shared" si="0"/>
        <v>374.4</v>
      </c>
      <c r="I14" s="21">
        <v>1</v>
      </c>
      <c r="J14" s="21">
        <v>1</v>
      </c>
      <c r="K14" s="21">
        <v>1</v>
      </c>
      <c r="L14" s="8" t="s">
        <v>332</v>
      </c>
      <c r="M14" s="14">
        <f>IF(I14="",0,I14)*Resumen!$C$6+IF(J14="",0,J14)*Resumen!$C$7+IF(K14="",0,K14)*Resumen!$C$9</f>
        <v>1</v>
      </c>
      <c r="N14" s="14">
        <f>IF(I14="",1,I14)*Resumen!$C$6+IF(J14="",1,J14)*Resumen!$C$7+IF(K14="",1,K14)*Resumen!$C$9</f>
        <v>1</v>
      </c>
      <c r="O14" s="13">
        <f t="shared" si="1"/>
        <v>374.4</v>
      </c>
      <c r="P14" s="13">
        <f t="shared" si="2"/>
        <v>374.4</v>
      </c>
      <c r="Q14" s="21" t="s">
        <v>333</v>
      </c>
      <c r="R14" s="21" t="s">
        <v>333</v>
      </c>
      <c r="S14" s="27"/>
      <c r="T14" s="28"/>
      <c r="U14" s="13">
        <f>H14*((Q14="Oficial")*Resumen!$C$6+(R14="Oficial")*Resumen!$C$7+(S14="Oficial")*Resumen!$C$9)</f>
        <v>0</v>
      </c>
      <c r="V14" s="8" t="str">
        <f t="shared" si="3"/>
        <v>Con entregas verificadas</v>
      </c>
    </row>
    <row r="15" spans="1:22" ht="23.85" customHeight="1" x14ac:dyDescent="0.25">
      <c r="A15" s="8" t="s">
        <v>261</v>
      </c>
      <c r="B15" s="8" t="s">
        <v>262</v>
      </c>
      <c r="C15" s="8" t="s">
        <v>157</v>
      </c>
      <c r="D15" s="8" t="s">
        <v>158</v>
      </c>
      <c r="E15" s="8" t="s">
        <v>128</v>
      </c>
      <c r="F15" s="16">
        <v>106.6</v>
      </c>
      <c r="H15" s="13">
        <f t="shared" si="0"/>
        <v>106.6</v>
      </c>
      <c r="I15" s="21">
        <v>1</v>
      </c>
      <c r="J15" s="21">
        <v>1</v>
      </c>
      <c r="K15" s="21">
        <v>1</v>
      </c>
      <c r="L15" s="8" t="s">
        <v>332</v>
      </c>
      <c r="M15" s="14">
        <f>IF(I15="",0,I15)*Resumen!$C$6+IF(J15="",0,J15)*Resumen!$C$7+IF(K15="",0,K15)*Resumen!$C$9</f>
        <v>1</v>
      </c>
      <c r="N15" s="14">
        <f>IF(I15="",1,I15)*Resumen!$C$6+IF(J15="",1,J15)*Resumen!$C$7+IF(K15="",1,K15)*Resumen!$C$9</f>
        <v>1</v>
      </c>
      <c r="O15" s="13">
        <f t="shared" si="1"/>
        <v>106.6</v>
      </c>
      <c r="P15" s="13">
        <f t="shared" si="2"/>
        <v>106.6</v>
      </c>
      <c r="Q15" s="21" t="s">
        <v>333</v>
      </c>
      <c r="R15" s="21" t="s">
        <v>333</v>
      </c>
      <c r="S15" s="27"/>
      <c r="T15" s="28"/>
      <c r="U15" s="13">
        <f>H15*((Q15="Oficial")*Resumen!$C$6+(R15="Oficial")*Resumen!$C$7+(S15="Oficial")*Resumen!$C$9)</f>
        <v>0</v>
      </c>
      <c r="V15" s="8" t="str">
        <f t="shared" si="3"/>
        <v>Con entregas verificadas</v>
      </c>
    </row>
    <row r="16" spans="1:22" ht="23.85" customHeight="1" x14ac:dyDescent="0.25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128</v>
      </c>
      <c r="F16" s="16">
        <v>263.89999999999998</v>
      </c>
      <c r="H16" s="13">
        <f t="shared" si="0"/>
        <v>263.89999999999998</v>
      </c>
      <c r="I16" s="21">
        <v>1</v>
      </c>
      <c r="J16" s="21">
        <v>1</v>
      </c>
      <c r="K16" s="21">
        <v>1</v>
      </c>
      <c r="L16" s="8" t="s">
        <v>332</v>
      </c>
      <c r="M16" s="14">
        <f>IF(I16="",0,I16)*Resumen!$C$6+IF(J16="",0,J16)*Resumen!$C$7+IF(K16="",0,K16)*Resumen!$C$9</f>
        <v>1</v>
      </c>
      <c r="N16" s="14">
        <f>IF(I16="",1,I16)*Resumen!$C$6+IF(J16="",1,J16)*Resumen!$C$7+IF(K16="",1,K16)*Resumen!$C$9</f>
        <v>1</v>
      </c>
      <c r="O16" s="13">
        <f t="shared" si="1"/>
        <v>263.89999999999998</v>
      </c>
      <c r="P16" s="13">
        <f t="shared" si="2"/>
        <v>263.89999999999998</v>
      </c>
      <c r="Q16" s="21" t="s">
        <v>333</v>
      </c>
      <c r="R16" s="21" t="s">
        <v>333</v>
      </c>
      <c r="S16" s="27"/>
      <c r="T16" s="28"/>
      <c r="U16" s="13">
        <f>H16*((Q16="Oficial")*Resumen!$C$6+(R16="Oficial")*Resumen!$C$7+(S16="Oficial")*Resumen!$C$9)</f>
        <v>0</v>
      </c>
      <c r="V16" s="8" t="str">
        <f t="shared" si="3"/>
        <v>Con entregas verificadas</v>
      </c>
    </row>
    <row r="17" spans="1:22" ht="23.85" customHeight="1" x14ac:dyDescent="0.25">
      <c r="A17" s="8" t="s">
        <v>162</v>
      </c>
      <c r="B17" s="8" t="s">
        <v>163</v>
      </c>
      <c r="C17" s="8" t="s">
        <v>149</v>
      </c>
      <c r="D17" s="8" t="s">
        <v>161</v>
      </c>
      <c r="E17" s="8" t="s">
        <v>128</v>
      </c>
      <c r="F17" s="16">
        <v>15.6</v>
      </c>
      <c r="H17" s="13">
        <f t="shared" si="0"/>
        <v>15.6</v>
      </c>
      <c r="I17" s="21">
        <v>1</v>
      </c>
      <c r="J17" s="21">
        <v>1</v>
      </c>
      <c r="K17" s="21">
        <v>1</v>
      </c>
      <c r="L17" s="8" t="s">
        <v>332</v>
      </c>
      <c r="M17" s="14">
        <f>IF(I17="",0,I17)*Resumen!$C$6+IF(J17="",0,J17)*Resumen!$C$7+IF(K17="",0,K17)*Resumen!$C$9</f>
        <v>1</v>
      </c>
      <c r="N17" s="14">
        <f>IF(I17="",1,I17)*Resumen!$C$6+IF(J17="",1,J17)*Resumen!$C$7+IF(K17="",1,K17)*Resumen!$C$9</f>
        <v>1</v>
      </c>
      <c r="O17" s="13">
        <f t="shared" si="1"/>
        <v>15.6</v>
      </c>
      <c r="P17" s="13">
        <f t="shared" si="2"/>
        <v>15.6</v>
      </c>
      <c r="Q17" s="21" t="s">
        <v>333</v>
      </c>
      <c r="R17" s="21" t="s">
        <v>333</v>
      </c>
      <c r="S17" s="27"/>
      <c r="T17" s="28"/>
      <c r="U17" s="13">
        <f>H17*((Q17="Oficial")*Resumen!$C$6+(R17="Oficial")*Resumen!$C$7+(S17="Oficial")*Resumen!$C$9)</f>
        <v>0</v>
      </c>
      <c r="V17" s="8" t="str">
        <f t="shared" si="3"/>
        <v>Con entregas verificadas</v>
      </c>
    </row>
    <row r="18" spans="1:22" ht="23.85" customHeight="1" x14ac:dyDescent="0.25">
      <c r="A18" s="8" t="s">
        <v>263</v>
      </c>
      <c r="B18" s="8" t="s">
        <v>264</v>
      </c>
      <c r="C18" s="8" t="s">
        <v>138</v>
      </c>
      <c r="D18" s="8" t="s">
        <v>161</v>
      </c>
      <c r="E18" s="8" t="s">
        <v>128</v>
      </c>
      <c r="F18" s="16">
        <v>70.2</v>
      </c>
      <c r="G18" s="16">
        <v>62.56</v>
      </c>
      <c r="H18" s="13">
        <f t="shared" si="0"/>
        <v>62.56</v>
      </c>
      <c r="I18" s="21">
        <v>1</v>
      </c>
      <c r="J18" s="21">
        <v>1</v>
      </c>
      <c r="K18" s="21">
        <v>1</v>
      </c>
      <c r="L18" s="8" t="s">
        <v>332</v>
      </c>
      <c r="M18" s="14">
        <f>IF(I18="",0,I18)*Resumen!$C$6+IF(J18="",0,J18)*Resumen!$C$7+IF(K18="",0,K18)*Resumen!$C$9</f>
        <v>1</v>
      </c>
      <c r="N18" s="14">
        <f>IF(I18="",1,I18)*Resumen!$C$6+IF(J18="",1,J18)*Resumen!$C$7+IF(K18="",1,K18)*Resumen!$C$9</f>
        <v>1</v>
      </c>
      <c r="O18" s="13">
        <f t="shared" si="1"/>
        <v>62.56</v>
      </c>
      <c r="P18" s="13">
        <f t="shared" si="2"/>
        <v>62.56</v>
      </c>
      <c r="Q18" s="21" t="s">
        <v>335</v>
      </c>
      <c r="R18" s="21" t="s">
        <v>299</v>
      </c>
      <c r="S18" s="21" t="s">
        <v>299</v>
      </c>
      <c r="T18" s="8" t="s">
        <v>336</v>
      </c>
      <c r="U18" s="13">
        <f>H18*((Q18="Oficial")*Resumen!$C$6+(R18="Oficial")*Resumen!$C$7+(S18="Oficial")*Resumen!$C$9)</f>
        <v>0</v>
      </c>
      <c r="V18" s="8" t="str">
        <f t="shared" si="3"/>
        <v>Con entregas verificadas</v>
      </c>
    </row>
    <row r="19" spans="1:22" ht="23.85" customHeight="1" x14ac:dyDescent="0.25">
      <c r="A19" s="8" t="s">
        <v>165</v>
      </c>
      <c r="B19" s="8" t="s">
        <v>166</v>
      </c>
      <c r="C19" s="8" t="s">
        <v>149</v>
      </c>
      <c r="D19" s="8" t="s">
        <v>161</v>
      </c>
      <c r="E19" s="8" t="s">
        <v>128</v>
      </c>
      <c r="F19" s="16">
        <v>22.1</v>
      </c>
      <c r="H19" s="13">
        <f t="shared" si="0"/>
        <v>22.1</v>
      </c>
      <c r="I19" s="21">
        <v>1</v>
      </c>
      <c r="J19" s="21">
        <v>1</v>
      </c>
      <c r="K19" s="21">
        <v>1</v>
      </c>
      <c r="L19" s="8" t="s">
        <v>332</v>
      </c>
      <c r="M19" s="14">
        <f>IF(I19="",0,I19)*Resumen!$C$6+IF(J19="",0,J19)*Resumen!$C$7+IF(K19="",0,K19)*Resumen!$C$9</f>
        <v>1</v>
      </c>
      <c r="N19" s="14">
        <f>IF(I19="",1,I19)*Resumen!$C$6+IF(J19="",1,J19)*Resumen!$C$7+IF(K19="",1,K19)*Resumen!$C$9</f>
        <v>1</v>
      </c>
      <c r="O19" s="13">
        <f t="shared" si="1"/>
        <v>22.1</v>
      </c>
      <c r="P19" s="13">
        <f t="shared" si="2"/>
        <v>22.1</v>
      </c>
      <c r="Q19" s="27"/>
      <c r="R19" s="21" t="s">
        <v>299</v>
      </c>
      <c r="S19" s="21" t="s">
        <v>299</v>
      </c>
      <c r="T19" s="8" t="s">
        <v>337</v>
      </c>
      <c r="U19" s="13">
        <f>H19*((Q19="Oficial")*Resumen!$C$6+(R19="Oficial")*Resumen!$C$7+(S19="Oficial")*Resumen!$C$9)</f>
        <v>0</v>
      </c>
      <c r="V19" s="8" t="str">
        <f t="shared" si="3"/>
        <v>Con entregas verificadas</v>
      </c>
    </row>
    <row r="20" spans="1:22" ht="23.85" customHeight="1" x14ac:dyDescent="0.25">
      <c r="A20" s="8" t="s">
        <v>167</v>
      </c>
      <c r="B20" s="8" t="s">
        <v>168</v>
      </c>
      <c r="C20" s="8" t="s">
        <v>138</v>
      </c>
      <c r="D20" s="8" t="s">
        <v>161</v>
      </c>
      <c r="E20" s="8" t="s">
        <v>128</v>
      </c>
      <c r="F20" s="16">
        <v>76.7</v>
      </c>
      <c r="G20" s="16">
        <v>96.5</v>
      </c>
      <c r="H20" s="13">
        <f t="shared" si="0"/>
        <v>96.5</v>
      </c>
      <c r="I20" s="21">
        <v>1</v>
      </c>
      <c r="J20" s="21">
        <v>1</v>
      </c>
      <c r="K20" s="21">
        <v>1</v>
      </c>
      <c r="L20" s="8" t="s">
        <v>332</v>
      </c>
      <c r="M20" s="14">
        <f>IF(I20="",0,I20)*Resumen!$C$6+IF(J20="",0,J20)*Resumen!$C$7+IF(K20="",0,K20)*Resumen!$C$9</f>
        <v>1</v>
      </c>
      <c r="N20" s="14">
        <f>IF(I20="",1,I20)*Resumen!$C$6+IF(J20="",1,J20)*Resumen!$C$7+IF(K20="",1,K20)*Resumen!$C$9</f>
        <v>1</v>
      </c>
      <c r="O20" s="13">
        <f t="shared" si="1"/>
        <v>96.5</v>
      </c>
      <c r="P20" s="13">
        <f t="shared" si="2"/>
        <v>96.5</v>
      </c>
      <c r="Q20" s="21" t="s">
        <v>299</v>
      </c>
      <c r="R20" s="21" t="s">
        <v>299</v>
      </c>
      <c r="S20" s="21" t="s">
        <v>299</v>
      </c>
      <c r="T20" s="28"/>
      <c r="U20" s="13">
        <f>H20*((Q20="Oficial")*Resumen!$C$6+(R20="Oficial")*Resumen!$C$7+(S20="Oficial")*Resumen!$C$9)</f>
        <v>0</v>
      </c>
      <c r="V20" s="8" t="str">
        <f t="shared" si="3"/>
        <v>Con entregas verificadas</v>
      </c>
    </row>
    <row r="21" spans="1:22" ht="23.85" customHeight="1" x14ac:dyDescent="0.25">
      <c r="A21" s="8" t="s">
        <v>171</v>
      </c>
      <c r="B21" s="8" t="s">
        <v>172</v>
      </c>
      <c r="C21" s="8" t="s">
        <v>149</v>
      </c>
      <c r="D21" s="8" t="s">
        <v>161</v>
      </c>
      <c r="E21" s="8" t="s">
        <v>128</v>
      </c>
      <c r="F21" s="16">
        <v>13</v>
      </c>
      <c r="H21" s="13">
        <f t="shared" si="0"/>
        <v>13</v>
      </c>
      <c r="I21" s="21">
        <v>1</v>
      </c>
      <c r="J21" s="21">
        <v>1</v>
      </c>
      <c r="K21" s="21">
        <v>1</v>
      </c>
      <c r="L21" s="8" t="s">
        <v>332</v>
      </c>
      <c r="M21" s="14">
        <f>IF(I21="",0,I21)*Resumen!$C$6+IF(J21="",0,J21)*Resumen!$C$7+IF(K21="",0,K21)*Resumen!$C$9</f>
        <v>1</v>
      </c>
      <c r="N21" s="14">
        <f>IF(I21="",1,I21)*Resumen!$C$6+IF(J21="",1,J21)*Resumen!$C$7+IF(K21="",1,K21)*Resumen!$C$9</f>
        <v>1</v>
      </c>
      <c r="O21" s="13">
        <f t="shared" si="1"/>
        <v>13</v>
      </c>
      <c r="P21" s="13">
        <f t="shared" si="2"/>
        <v>13</v>
      </c>
      <c r="Q21" s="27"/>
      <c r="R21" s="21" t="s">
        <v>333</v>
      </c>
      <c r="S21" s="27"/>
      <c r="T21" s="28"/>
      <c r="U21" s="13">
        <f>H21*((Q21="Oficial")*Resumen!$C$6+(R21="Oficial")*Resumen!$C$7+(S21="Oficial")*Resumen!$C$9)</f>
        <v>0</v>
      </c>
      <c r="V21" s="8" t="str">
        <f t="shared" si="3"/>
        <v>Con entregas verificadas</v>
      </c>
    </row>
    <row r="22" spans="1:22" ht="23.85" customHeight="1" x14ac:dyDescent="0.25">
      <c r="A22" s="8" t="s">
        <v>173</v>
      </c>
      <c r="B22" s="8" t="s">
        <v>174</v>
      </c>
      <c r="C22" s="8" t="s">
        <v>138</v>
      </c>
      <c r="D22" s="8" t="s">
        <v>161</v>
      </c>
      <c r="E22" s="8" t="s">
        <v>128</v>
      </c>
      <c r="F22" s="16">
        <v>57.2</v>
      </c>
      <c r="H22" s="13">
        <f t="shared" si="0"/>
        <v>57.2</v>
      </c>
      <c r="I22" s="21">
        <v>1</v>
      </c>
      <c r="J22" s="21">
        <v>1</v>
      </c>
      <c r="K22" s="21">
        <v>1</v>
      </c>
      <c r="L22" s="8" t="s">
        <v>332</v>
      </c>
      <c r="M22" s="14">
        <f>IF(I22="",0,I22)*Resumen!$C$6+IF(J22="",0,J22)*Resumen!$C$7+IF(K22="",0,K22)*Resumen!$C$9</f>
        <v>1</v>
      </c>
      <c r="N22" s="14">
        <f>IF(I22="",1,I22)*Resumen!$C$6+IF(J22="",1,J22)*Resumen!$C$7+IF(K22="",1,K22)*Resumen!$C$9</f>
        <v>1</v>
      </c>
      <c r="O22" s="13">
        <f t="shared" si="1"/>
        <v>57.2</v>
      </c>
      <c r="P22" s="13">
        <f t="shared" si="2"/>
        <v>57.2</v>
      </c>
      <c r="Q22" s="21" t="s">
        <v>333</v>
      </c>
      <c r="R22" s="21" t="s">
        <v>333</v>
      </c>
      <c r="S22" s="21" t="s">
        <v>333</v>
      </c>
      <c r="T22" s="28"/>
      <c r="U22" s="13">
        <f>H22*((Q22="Oficial")*Resumen!$C$6+(R22="Oficial")*Resumen!$C$7+(S22="Oficial")*Resumen!$C$9)</f>
        <v>0</v>
      </c>
      <c r="V22" s="8" t="str">
        <f t="shared" si="3"/>
        <v>Con entregas verificadas</v>
      </c>
    </row>
    <row r="23" spans="1:22" ht="23.85" customHeight="1" x14ac:dyDescent="0.25">
      <c r="A23" s="8" t="s">
        <v>175</v>
      </c>
      <c r="B23" s="8" t="s">
        <v>176</v>
      </c>
      <c r="C23" s="8" t="s">
        <v>177</v>
      </c>
      <c r="D23" s="8" t="s">
        <v>161</v>
      </c>
      <c r="E23" s="8" t="s">
        <v>128</v>
      </c>
      <c r="F23" s="16">
        <v>32.5</v>
      </c>
      <c r="H23" s="13">
        <f t="shared" si="0"/>
        <v>32.5</v>
      </c>
      <c r="I23" s="21">
        <v>1</v>
      </c>
      <c r="J23" s="21">
        <v>1</v>
      </c>
      <c r="K23" s="21">
        <v>1</v>
      </c>
      <c r="L23" s="8" t="s">
        <v>332</v>
      </c>
      <c r="M23" s="14">
        <f>IF(I23="",0,I23)*Resumen!$C$6+IF(J23="",0,J23)*Resumen!$C$7+IF(K23="",0,K23)*Resumen!$C$9</f>
        <v>1</v>
      </c>
      <c r="N23" s="14">
        <f>IF(I23="",1,I23)*Resumen!$C$6+IF(J23="",1,J23)*Resumen!$C$7+IF(K23="",1,K23)*Resumen!$C$9</f>
        <v>1</v>
      </c>
      <c r="O23" s="13">
        <f t="shared" si="1"/>
        <v>32.5</v>
      </c>
      <c r="P23" s="13">
        <f t="shared" si="2"/>
        <v>32.5</v>
      </c>
      <c r="Q23" s="21" t="s">
        <v>333</v>
      </c>
      <c r="R23" s="21" t="s">
        <v>333</v>
      </c>
      <c r="S23" s="27"/>
      <c r="T23" s="28"/>
      <c r="U23" s="13">
        <f>H23*((Q23="Oficial")*Resumen!$C$6+(R23="Oficial")*Resumen!$C$7+(S23="Oficial")*Resumen!$C$9)</f>
        <v>0</v>
      </c>
      <c r="V23" s="8" t="str">
        <f t="shared" si="3"/>
        <v>Con entregas verificadas</v>
      </c>
    </row>
    <row r="24" spans="1:22" ht="23.85" customHeight="1" x14ac:dyDescent="0.25">
      <c r="A24" s="8" t="s">
        <v>181</v>
      </c>
      <c r="B24" s="8" t="s">
        <v>182</v>
      </c>
      <c r="C24" s="8" t="s">
        <v>149</v>
      </c>
      <c r="D24" s="8" t="s">
        <v>161</v>
      </c>
      <c r="E24" s="8" t="s">
        <v>128</v>
      </c>
      <c r="F24" s="16">
        <v>107.9</v>
      </c>
      <c r="H24" s="13">
        <f t="shared" si="0"/>
        <v>107.9</v>
      </c>
      <c r="I24" s="21">
        <v>1</v>
      </c>
      <c r="J24" s="21">
        <v>1</v>
      </c>
      <c r="K24" s="21">
        <v>1</v>
      </c>
      <c r="L24" s="8" t="s">
        <v>332</v>
      </c>
      <c r="M24" s="14">
        <f>IF(I24="",0,I24)*Resumen!$C$6+IF(J24="",0,J24)*Resumen!$C$7+IF(K24="",0,K24)*Resumen!$C$9</f>
        <v>1</v>
      </c>
      <c r="N24" s="14">
        <f>IF(I24="",1,I24)*Resumen!$C$6+IF(J24="",1,J24)*Resumen!$C$7+IF(K24="",1,K24)*Resumen!$C$9</f>
        <v>1</v>
      </c>
      <c r="O24" s="13">
        <f t="shared" si="1"/>
        <v>107.9</v>
      </c>
      <c r="P24" s="13">
        <f t="shared" si="2"/>
        <v>107.9</v>
      </c>
      <c r="Q24" s="21" t="s">
        <v>333</v>
      </c>
      <c r="R24" s="21" t="s">
        <v>333</v>
      </c>
      <c r="S24" s="27"/>
      <c r="T24" s="28"/>
      <c r="U24" s="13">
        <f>H24*((Q24="Oficial")*Resumen!$C$6+(R24="Oficial")*Resumen!$C$7+(S24="Oficial")*Resumen!$C$9)</f>
        <v>0</v>
      </c>
      <c r="V24" s="8" t="str">
        <f t="shared" si="3"/>
        <v>Con entregas verificadas</v>
      </c>
    </row>
    <row r="25" spans="1:22" ht="23.85" customHeight="1" x14ac:dyDescent="0.25">
      <c r="A25" s="8" t="s">
        <v>186</v>
      </c>
      <c r="B25" s="8" t="s">
        <v>187</v>
      </c>
      <c r="C25" s="8" t="s">
        <v>157</v>
      </c>
      <c r="D25" s="8" t="s">
        <v>161</v>
      </c>
      <c r="E25" s="8" t="s">
        <v>128</v>
      </c>
      <c r="F25" s="16">
        <v>98.8</v>
      </c>
      <c r="G25" s="16">
        <v>194.38</v>
      </c>
      <c r="H25" s="13">
        <f t="shared" si="0"/>
        <v>194.38</v>
      </c>
      <c r="I25" s="21">
        <v>1</v>
      </c>
      <c r="J25" s="21">
        <v>1</v>
      </c>
      <c r="K25" s="21">
        <v>1</v>
      </c>
      <c r="L25" s="8" t="s">
        <v>332</v>
      </c>
      <c r="M25" s="14">
        <f>IF(I25="",0,I25)*Resumen!$C$6+IF(J25="",0,J25)*Resumen!$C$7+IF(K25="",0,K25)*Resumen!$C$9</f>
        <v>1</v>
      </c>
      <c r="N25" s="14">
        <f>IF(I25="",1,I25)*Resumen!$C$6+IF(J25="",1,J25)*Resumen!$C$7+IF(K25="",1,K25)*Resumen!$C$9</f>
        <v>1</v>
      </c>
      <c r="O25" s="13">
        <f t="shared" si="1"/>
        <v>194.38</v>
      </c>
      <c r="P25" s="13">
        <f t="shared" si="2"/>
        <v>194.38</v>
      </c>
      <c r="Q25" s="21" t="s">
        <v>299</v>
      </c>
      <c r="R25" s="21" t="s">
        <v>299</v>
      </c>
      <c r="S25" s="21" t="s">
        <v>299</v>
      </c>
      <c r="T25" s="28"/>
      <c r="U25" s="13">
        <f>H25*((Q25="Oficial")*Resumen!$C$6+(R25="Oficial")*Resumen!$C$7+(S25="Oficial")*Resumen!$C$9)</f>
        <v>0</v>
      </c>
      <c r="V25" s="8" t="str">
        <f t="shared" si="3"/>
        <v>Con entregas verificadas</v>
      </c>
    </row>
    <row r="26" spans="1:22" ht="23.85" customHeight="1" x14ac:dyDescent="0.25">
      <c r="A26" s="8" t="s">
        <v>265</v>
      </c>
      <c r="B26" s="8" t="s">
        <v>266</v>
      </c>
      <c r="C26" s="8" t="s">
        <v>180</v>
      </c>
      <c r="D26" s="8" t="s">
        <v>161</v>
      </c>
      <c r="E26" s="8" t="s">
        <v>128</v>
      </c>
      <c r="F26" s="16">
        <v>212.11</v>
      </c>
      <c r="H26" s="13">
        <f t="shared" si="0"/>
        <v>212.11</v>
      </c>
      <c r="I26" s="21">
        <v>1</v>
      </c>
      <c r="J26" s="21">
        <v>1</v>
      </c>
      <c r="K26" s="21">
        <v>1</v>
      </c>
      <c r="L26" s="8" t="s">
        <v>332</v>
      </c>
      <c r="M26" s="14">
        <f>IF(I26="",0,I26)*Resumen!$C$6+IF(J26="",0,J26)*Resumen!$C$7+IF(K26="",0,K26)*Resumen!$C$9</f>
        <v>1</v>
      </c>
      <c r="N26" s="14">
        <f>IF(I26="",1,I26)*Resumen!$C$6+IF(J26="",1,J26)*Resumen!$C$7+IF(K26="",1,K26)*Resumen!$C$9</f>
        <v>1</v>
      </c>
      <c r="O26" s="13">
        <f t="shared" si="1"/>
        <v>212.11</v>
      </c>
      <c r="P26" s="13">
        <f t="shared" si="2"/>
        <v>212.11</v>
      </c>
      <c r="Q26" s="21" t="s">
        <v>333</v>
      </c>
      <c r="R26" s="21" t="s">
        <v>333</v>
      </c>
      <c r="S26" s="27"/>
      <c r="T26" s="28"/>
      <c r="U26" s="13">
        <f>H26*((Q26="Oficial")*Resumen!$C$6+(R26="Oficial")*Resumen!$C$7+(S26="Oficial")*Resumen!$C$9)</f>
        <v>0</v>
      </c>
      <c r="V26" s="8" t="str">
        <f t="shared" si="3"/>
        <v>Con entregas verificadas</v>
      </c>
    </row>
    <row r="27" spans="1:22" ht="23.85" customHeight="1" x14ac:dyDescent="0.25">
      <c r="A27" s="8" t="s">
        <v>188</v>
      </c>
      <c r="B27" s="8" t="s">
        <v>189</v>
      </c>
      <c r="C27" s="8" t="s">
        <v>149</v>
      </c>
      <c r="D27" s="8" t="s">
        <v>161</v>
      </c>
      <c r="E27" s="8" t="s">
        <v>128</v>
      </c>
      <c r="F27" s="16">
        <v>158.6</v>
      </c>
      <c r="H27" s="13">
        <f t="shared" si="0"/>
        <v>158.6</v>
      </c>
      <c r="I27" s="21">
        <v>1</v>
      </c>
      <c r="J27" s="21">
        <v>1</v>
      </c>
      <c r="K27" s="21">
        <v>1</v>
      </c>
      <c r="L27" s="8" t="s">
        <v>332</v>
      </c>
      <c r="M27" s="14">
        <f>IF(I27="",0,I27)*Resumen!$C$6+IF(J27="",0,J27)*Resumen!$C$7+IF(K27="",0,K27)*Resumen!$C$9</f>
        <v>1</v>
      </c>
      <c r="N27" s="14">
        <f>IF(I27="",1,I27)*Resumen!$C$6+IF(J27="",1,J27)*Resumen!$C$7+IF(K27="",1,K27)*Resumen!$C$9</f>
        <v>1</v>
      </c>
      <c r="O27" s="13">
        <f t="shared" si="1"/>
        <v>158.6</v>
      </c>
      <c r="P27" s="13">
        <f t="shared" si="2"/>
        <v>158.6</v>
      </c>
      <c r="Q27" s="21" t="s">
        <v>333</v>
      </c>
      <c r="R27" s="21" t="s">
        <v>333</v>
      </c>
      <c r="S27" s="27"/>
      <c r="T27" s="28"/>
      <c r="U27" s="13">
        <f>H27*((Q27="Oficial")*Resumen!$C$6+(R27="Oficial")*Resumen!$C$7+(S27="Oficial")*Resumen!$C$9)</f>
        <v>0</v>
      </c>
      <c r="V27" s="8" t="str">
        <f t="shared" si="3"/>
        <v>Con entregas verificadas</v>
      </c>
    </row>
    <row r="28" spans="1:22" ht="23.85" customHeight="1" x14ac:dyDescent="0.25">
      <c r="A28" s="8" t="s">
        <v>190</v>
      </c>
      <c r="B28" s="8" t="s">
        <v>191</v>
      </c>
      <c r="C28" s="8" t="s">
        <v>149</v>
      </c>
      <c r="D28" s="8" t="s">
        <v>161</v>
      </c>
      <c r="E28" s="8" t="s">
        <v>128</v>
      </c>
      <c r="F28" s="16">
        <v>41.6</v>
      </c>
      <c r="H28" s="13">
        <f t="shared" si="0"/>
        <v>41.6</v>
      </c>
      <c r="I28" s="21">
        <v>1</v>
      </c>
      <c r="J28" s="21">
        <v>1</v>
      </c>
      <c r="K28" s="21">
        <v>1</v>
      </c>
      <c r="L28" s="8" t="s">
        <v>332</v>
      </c>
      <c r="M28" s="14">
        <f>IF(I28="",0,I28)*Resumen!$C$6+IF(J28="",0,J28)*Resumen!$C$7+IF(K28="",0,K28)*Resumen!$C$9</f>
        <v>1</v>
      </c>
      <c r="N28" s="14">
        <f>IF(I28="",1,I28)*Resumen!$C$6+IF(J28="",1,J28)*Resumen!$C$7+IF(K28="",1,K28)*Resumen!$C$9</f>
        <v>1</v>
      </c>
      <c r="O28" s="13">
        <f t="shared" si="1"/>
        <v>41.6</v>
      </c>
      <c r="P28" s="13">
        <f t="shared" si="2"/>
        <v>41.6</v>
      </c>
      <c r="Q28" s="21" t="s">
        <v>333</v>
      </c>
      <c r="R28" s="21" t="s">
        <v>333</v>
      </c>
      <c r="S28" s="27"/>
      <c r="T28" s="28"/>
      <c r="U28" s="13">
        <f>H28*((Q28="Oficial")*Resumen!$C$6+(R28="Oficial")*Resumen!$C$7+(S28="Oficial")*Resumen!$C$9)</f>
        <v>0</v>
      </c>
      <c r="V28" s="8" t="str">
        <f t="shared" si="3"/>
        <v>Con entregas verificadas</v>
      </c>
    </row>
    <row r="29" spans="1:22" ht="23.85" customHeight="1" x14ac:dyDescent="0.25">
      <c r="A29" s="8" t="s">
        <v>267</v>
      </c>
      <c r="B29" s="8" t="s">
        <v>268</v>
      </c>
      <c r="C29" s="8" t="s">
        <v>180</v>
      </c>
      <c r="D29" s="8" t="s">
        <v>161</v>
      </c>
      <c r="E29" s="8" t="s">
        <v>128</v>
      </c>
      <c r="F29" s="16">
        <v>1391</v>
      </c>
      <c r="G29" s="16">
        <v>1092.6199999999999</v>
      </c>
      <c r="H29" s="13">
        <f t="shared" si="0"/>
        <v>1092.6199999999999</v>
      </c>
      <c r="I29" s="21">
        <v>1</v>
      </c>
      <c r="J29" s="21">
        <v>1</v>
      </c>
      <c r="K29" s="21">
        <v>1</v>
      </c>
      <c r="L29" s="8" t="s">
        <v>332</v>
      </c>
      <c r="M29" s="14">
        <f>IF(I29="",0,I29)*Resumen!$C$6+IF(J29="",0,J29)*Resumen!$C$7+IF(K29="",0,K29)*Resumen!$C$9</f>
        <v>1</v>
      </c>
      <c r="N29" s="14">
        <f>IF(I29="",1,I29)*Resumen!$C$6+IF(J29="",1,J29)*Resumen!$C$7+IF(K29="",1,K29)*Resumen!$C$9</f>
        <v>1</v>
      </c>
      <c r="O29" s="13">
        <f t="shared" si="1"/>
        <v>1092.6199999999999</v>
      </c>
      <c r="P29" s="13">
        <f t="shared" si="2"/>
        <v>1092.6199999999999</v>
      </c>
      <c r="Q29" s="21" t="s">
        <v>299</v>
      </c>
      <c r="R29" s="21" t="s">
        <v>299</v>
      </c>
      <c r="S29" s="27"/>
      <c r="T29" s="28"/>
      <c r="U29" s="13">
        <f>H29*((Q29="Oficial")*Resumen!$C$6+(R29="Oficial")*Resumen!$C$7+(S29="Oficial")*Resumen!$C$9)</f>
        <v>0</v>
      </c>
      <c r="V29" s="8" t="str">
        <f t="shared" si="3"/>
        <v>Con entregas verificadas</v>
      </c>
    </row>
    <row r="30" spans="1:22" ht="23.85" customHeight="1" x14ac:dyDescent="0.25">
      <c r="A30" s="8" t="s">
        <v>192</v>
      </c>
      <c r="B30" s="8" t="s">
        <v>193</v>
      </c>
      <c r="C30" s="8" t="s">
        <v>138</v>
      </c>
      <c r="D30" s="8" t="s">
        <v>161</v>
      </c>
      <c r="E30" s="8" t="s">
        <v>128</v>
      </c>
      <c r="F30" s="16">
        <v>119.6</v>
      </c>
      <c r="G30" s="16">
        <v>163.82</v>
      </c>
      <c r="H30" s="13">
        <f t="shared" si="0"/>
        <v>163.82</v>
      </c>
      <c r="I30" s="21">
        <v>1</v>
      </c>
      <c r="J30" s="21">
        <v>1</v>
      </c>
      <c r="K30" s="21">
        <v>1</v>
      </c>
      <c r="L30" s="8" t="s">
        <v>332</v>
      </c>
      <c r="M30" s="14">
        <f>IF(I30="",0,I30)*Resumen!$C$6+IF(J30="",0,J30)*Resumen!$C$7+IF(K30="",0,K30)*Resumen!$C$9</f>
        <v>1</v>
      </c>
      <c r="N30" s="14">
        <f>IF(I30="",1,I30)*Resumen!$C$6+IF(J30="",1,J30)*Resumen!$C$7+IF(K30="",1,K30)*Resumen!$C$9</f>
        <v>1</v>
      </c>
      <c r="O30" s="13">
        <f t="shared" si="1"/>
        <v>163.82</v>
      </c>
      <c r="P30" s="13">
        <f t="shared" si="2"/>
        <v>163.82</v>
      </c>
      <c r="Q30" s="21" t="s">
        <v>299</v>
      </c>
      <c r="R30" s="21" t="s">
        <v>299</v>
      </c>
      <c r="S30" s="21" t="s">
        <v>299</v>
      </c>
      <c r="T30" s="28"/>
      <c r="U30" s="13">
        <f>H30*((Q30="Oficial")*Resumen!$C$6+(R30="Oficial")*Resumen!$C$7+(S30="Oficial")*Resumen!$C$9)</f>
        <v>0</v>
      </c>
      <c r="V30" s="8" t="str">
        <f t="shared" si="3"/>
        <v>Con entregas verificadas</v>
      </c>
    </row>
    <row r="31" spans="1:22" ht="23.85" customHeight="1" x14ac:dyDescent="0.25">
      <c r="A31" s="8" t="s">
        <v>194</v>
      </c>
      <c r="B31" s="8" t="s">
        <v>195</v>
      </c>
      <c r="C31" s="8" t="s">
        <v>149</v>
      </c>
      <c r="D31" s="8" t="s">
        <v>161</v>
      </c>
      <c r="E31" s="8" t="s">
        <v>128</v>
      </c>
      <c r="F31" s="16">
        <v>349.7</v>
      </c>
      <c r="H31" s="13">
        <f t="shared" si="0"/>
        <v>349.7</v>
      </c>
      <c r="I31" s="21">
        <v>1</v>
      </c>
      <c r="J31" s="21">
        <v>1</v>
      </c>
      <c r="K31" s="21">
        <v>1</v>
      </c>
      <c r="L31" s="8" t="s">
        <v>332</v>
      </c>
      <c r="M31" s="14">
        <f>IF(I31="",0,I31)*Resumen!$C$6+IF(J31="",0,J31)*Resumen!$C$7+IF(K31="",0,K31)*Resumen!$C$9</f>
        <v>1</v>
      </c>
      <c r="N31" s="14">
        <f>IF(I31="",1,I31)*Resumen!$C$6+IF(J31="",1,J31)*Resumen!$C$7+IF(K31="",1,K31)*Resumen!$C$9</f>
        <v>1</v>
      </c>
      <c r="O31" s="13">
        <f t="shared" si="1"/>
        <v>349.7</v>
      </c>
      <c r="P31" s="13">
        <f t="shared" si="2"/>
        <v>349.7</v>
      </c>
      <c r="Q31" s="21" t="s">
        <v>333</v>
      </c>
      <c r="R31" s="21" t="s">
        <v>333</v>
      </c>
      <c r="S31" s="27"/>
      <c r="T31" s="28"/>
      <c r="U31" s="13">
        <f>H31*((Q31="Oficial")*Resumen!$C$6+(R31="Oficial")*Resumen!$C$7+(S31="Oficial")*Resumen!$C$9)</f>
        <v>0</v>
      </c>
      <c r="V31" s="8" t="str">
        <f t="shared" si="3"/>
        <v>Con entregas verificadas</v>
      </c>
    </row>
    <row r="32" spans="1:22" ht="23.85" customHeight="1" x14ac:dyDescent="0.25">
      <c r="A32" s="8" t="s">
        <v>196</v>
      </c>
      <c r="B32" s="8" t="s">
        <v>197</v>
      </c>
      <c r="C32" s="8" t="s">
        <v>149</v>
      </c>
      <c r="D32" s="8" t="s">
        <v>161</v>
      </c>
      <c r="E32" s="8" t="s">
        <v>128</v>
      </c>
      <c r="F32" s="16">
        <v>74.099999999999994</v>
      </c>
      <c r="G32" s="16">
        <v>62.22</v>
      </c>
      <c r="H32" s="13">
        <f t="shared" si="0"/>
        <v>62.22</v>
      </c>
      <c r="I32" s="21">
        <v>1</v>
      </c>
      <c r="J32" s="21">
        <v>1</v>
      </c>
      <c r="K32" s="21">
        <v>1</v>
      </c>
      <c r="L32" s="8" t="s">
        <v>332</v>
      </c>
      <c r="M32" s="14">
        <f>IF(I32="",0,I32)*Resumen!$C$6+IF(J32="",0,J32)*Resumen!$C$7+IF(K32="",0,K32)*Resumen!$C$9</f>
        <v>1</v>
      </c>
      <c r="N32" s="14">
        <f>IF(I32="",1,I32)*Resumen!$C$6+IF(J32="",1,J32)*Resumen!$C$7+IF(K32="",1,K32)*Resumen!$C$9</f>
        <v>1</v>
      </c>
      <c r="O32" s="13">
        <f t="shared" si="1"/>
        <v>62.22</v>
      </c>
      <c r="P32" s="13">
        <f t="shared" si="2"/>
        <v>62.22</v>
      </c>
      <c r="Q32" s="21" t="s">
        <v>333</v>
      </c>
      <c r="R32" s="21" t="s">
        <v>333</v>
      </c>
      <c r="S32" s="27"/>
      <c r="T32" s="28"/>
      <c r="U32" s="13">
        <f>H32*((Q32="Oficial")*Resumen!$C$6+(R32="Oficial")*Resumen!$C$7+(S32="Oficial")*Resumen!$C$9)</f>
        <v>0</v>
      </c>
      <c r="V32" s="8" t="str">
        <f t="shared" si="3"/>
        <v>Con entregas verificadas</v>
      </c>
    </row>
    <row r="33" spans="1:22" ht="23.85" customHeight="1" x14ac:dyDescent="0.25">
      <c r="A33" s="8" t="s">
        <v>198</v>
      </c>
      <c r="B33" s="8" t="s">
        <v>199</v>
      </c>
      <c r="C33" s="8" t="s">
        <v>138</v>
      </c>
      <c r="D33" s="8" t="s">
        <v>161</v>
      </c>
      <c r="E33" s="8" t="s">
        <v>128</v>
      </c>
      <c r="F33" s="16">
        <v>44.2</v>
      </c>
      <c r="H33" s="13">
        <f t="shared" si="0"/>
        <v>44.2</v>
      </c>
      <c r="I33" s="21">
        <v>1</v>
      </c>
      <c r="J33" s="21">
        <v>1</v>
      </c>
      <c r="K33" s="21">
        <v>1</v>
      </c>
      <c r="L33" s="8" t="s">
        <v>332</v>
      </c>
      <c r="M33" s="14">
        <f>IF(I33="",0,I33)*Resumen!$C$6+IF(J33="",0,J33)*Resumen!$C$7+IF(K33="",0,K33)*Resumen!$C$9</f>
        <v>1</v>
      </c>
      <c r="N33" s="14">
        <f>IF(I33="",1,I33)*Resumen!$C$6+IF(J33="",1,J33)*Resumen!$C$7+IF(K33="",1,K33)*Resumen!$C$9</f>
        <v>1</v>
      </c>
      <c r="O33" s="13">
        <f t="shared" si="1"/>
        <v>44.2</v>
      </c>
      <c r="P33" s="13">
        <f t="shared" si="2"/>
        <v>44.2</v>
      </c>
      <c r="Q33" s="21" t="s">
        <v>333</v>
      </c>
      <c r="R33" s="21" t="s">
        <v>333</v>
      </c>
      <c r="S33" s="21" t="s">
        <v>333</v>
      </c>
      <c r="T33" s="28"/>
      <c r="U33" s="13">
        <f>H33*((Q33="Oficial")*Resumen!$C$6+(R33="Oficial")*Resumen!$C$7+(S33="Oficial")*Resumen!$C$9)</f>
        <v>0</v>
      </c>
      <c r="V33" s="8" t="str">
        <f t="shared" si="3"/>
        <v>Con entregas verificadas</v>
      </c>
    </row>
    <row r="34" spans="1:22" ht="23.85" customHeight="1" x14ac:dyDescent="0.25">
      <c r="A34" s="8" t="s">
        <v>200</v>
      </c>
      <c r="B34" s="8" t="s">
        <v>201</v>
      </c>
      <c r="C34" s="8" t="s">
        <v>149</v>
      </c>
      <c r="D34" s="8" t="s">
        <v>161</v>
      </c>
      <c r="E34" s="8" t="s">
        <v>128</v>
      </c>
      <c r="F34" s="16">
        <v>62.4</v>
      </c>
      <c r="H34" s="13">
        <f t="shared" si="0"/>
        <v>62.4</v>
      </c>
      <c r="I34" s="21">
        <v>1</v>
      </c>
      <c r="J34" s="21">
        <v>1</v>
      </c>
      <c r="K34" s="21">
        <v>1</v>
      </c>
      <c r="L34" s="8" t="s">
        <v>332</v>
      </c>
      <c r="M34" s="14">
        <f>IF(I34="",0,I34)*Resumen!$C$6+IF(J34="",0,J34)*Resumen!$C$7+IF(K34="",0,K34)*Resumen!$C$9</f>
        <v>1</v>
      </c>
      <c r="N34" s="14">
        <f>IF(I34="",1,I34)*Resumen!$C$6+IF(J34="",1,J34)*Resumen!$C$7+IF(K34="",1,K34)*Resumen!$C$9</f>
        <v>1</v>
      </c>
      <c r="O34" s="13">
        <f t="shared" si="1"/>
        <v>62.4</v>
      </c>
      <c r="P34" s="13">
        <f t="shared" si="2"/>
        <v>62.4</v>
      </c>
      <c r="Q34" s="21" t="s">
        <v>333</v>
      </c>
      <c r="R34" s="21" t="s">
        <v>333</v>
      </c>
      <c r="S34" s="27"/>
      <c r="T34" s="28"/>
      <c r="U34" s="13">
        <f>H34*((Q34="Oficial")*Resumen!$C$6+(R34="Oficial")*Resumen!$C$7+(S34="Oficial")*Resumen!$C$9)</f>
        <v>0</v>
      </c>
      <c r="V34" s="8" t="str">
        <f t="shared" si="3"/>
        <v>Con entregas verificadas</v>
      </c>
    </row>
    <row r="35" spans="1:22" ht="23.85" customHeight="1" x14ac:dyDescent="0.25">
      <c r="A35" s="8" t="s">
        <v>202</v>
      </c>
      <c r="B35" s="8" t="s">
        <v>203</v>
      </c>
      <c r="C35" s="8" t="s">
        <v>149</v>
      </c>
      <c r="D35" s="8" t="s">
        <v>161</v>
      </c>
      <c r="E35" s="8" t="s">
        <v>128</v>
      </c>
      <c r="F35" s="16">
        <v>52</v>
      </c>
      <c r="H35" s="13">
        <f t="shared" si="0"/>
        <v>52</v>
      </c>
      <c r="I35" s="21">
        <v>1</v>
      </c>
      <c r="J35" s="21">
        <v>1</v>
      </c>
      <c r="K35" s="21">
        <v>1</v>
      </c>
      <c r="L35" s="8" t="s">
        <v>332</v>
      </c>
      <c r="M35" s="14">
        <f>IF(I35="",0,I35)*Resumen!$C$6+IF(J35="",0,J35)*Resumen!$C$7+IF(K35="",0,K35)*Resumen!$C$9</f>
        <v>1</v>
      </c>
      <c r="N35" s="14">
        <f>IF(I35="",1,I35)*Resumen!$C$6+IF(J35="",1,J35)*Resumen!$C$7+IF(K35="",1,K35)*Resumen!$C$9</f>
        <v>1</v>
      </c>
      <c r="O35" s="13">
        <f t="shared" si="1"/>
        <v>52</v>
      </c>
      <c r="P35" s="13">
        <f t="shared" si="2"/>
        <v>52</v>
      </c>
      <c r="Q35" s="27"/>
      <c r="R35" s="21" t="s">
        <v>333</v>
      </c>
      <c r="S35" s="27"/>
      <c r="T35" s="28"/>
      <c r="U35" s="13">
        <f>H35*((Q35="Oficial")*Resumen!$C$6+(R35="Oficial")*Resumen!$C$7+(S35="Oficial")*Resumen!$C$9)</f>
        <v>0</v>
      </c>
      <c r="V35" s="8" t="str">
        <f t="shared" si="3"/>
        <v>Con entregas verificadas</v>
      </c>
    </row>
    <row r="36" spans="1:22" ht="23.85" customHeight="1" x14ac:dyDescent="0.25">
      <c r="A36" s="8" t="s">
        <v>204</v>
      </c>
      <c r="B36" s="8" t="s">
        <v>205</v>
      </c>
      <c r="C36" s="8" t="s">
        <v>177</v>
      </c>
      <c r="D36" s="8" t="s">
        <v>161</v>
      </c>
      <c r="E36" s="8" t="s">
        <v>128</v>
      </c>
      <c r="F36" s="16">
        <v>35.1</v>
      </c>
      <c r="H36" s="13">
        <f t="shared" si="0"/>
        <v>35.1</v>
      </c>
      <c r="I36" s="21">
        <v>1</v>
      </c>
      <c r="J36" s="21">
        <v>1</v>
      </c>
      <c r="K36" s="21">
        <v>1</v>
      </c>
      <c r="L36" s="8" t="s">
        <v>332</v>
      </c>
      <c r="M36" s="14">
        <f>IF(I36="",0,I36)*Resumen!$C$6+IF(J36="",0,J36)*Resumen!$C$7+IF(K36="",0,K36)*Resumen!$C$9</f>
        <v>1</v>
      </c>
      <c r="N36" s="14">
        <f>IF(I36="",1,I36)*Resumen!$C$6+IF(J36="",1,J36)*Resumen!$C$7+IF(K36="",1,K36)*Resumen!$C$9</f>
        <v>1</v>
      </c>
      <c r="O36" s="13">
        <f t="shared" si="1"/>
        <v>35.1</v>
      </c>
      <c r="P36" s="13">
        <f t="shared" si="2"/>
        <v>35.1</v>
      </c>
      <c r="Q36" s="21" t="s">
        <v>333</v>
      </c>
      <c r="R36" s="21" t="s">
        <v>333</v>
      </c>
      <c r="S36" s="27"/>
      <c r="T36" s="28"/>
      <c r="U36" s="13">
        <f>H36*((Q36="Oficial")*Resumen!$C$6+(R36="Oficial")*Resumen!$C$7+(S36="Oficial")*Resumen!$C$9)</f>
        <v>0</v>
      </c>
      <c r="V36" s="8" t="str">
        <f t="shared" si="3"/>
        <v>Con entregas verificadas</v>
      </c>
    </row>
    <row r="37" spans="1:22" ht="23.85" customHeight="1" x14ac:dyDescent="0.25">
      <c r="A37" s="8" t="s">
        <v>210</v>
      </c>
      <c r="B37" s="8" t="s">
        <v>211</v>
      </c>
      <c r="C37" s="8" t="s">
        <v>149</v>
      </c>
      <c r="D37" s="8" t="s">
        <v>161</v>
      </c>
      <c r="E37" s="8" t="s">
        <v>128</v>
      </c>
      <c r="F37" s="16">
        <v>35.1</v>
      </c>
      <c r="G37" s="16">
        <v>11.21</v>
      </c>
      <c r="H37" s="13">
        <f t="shared" ref="H37:H68" si="4">IF(G37="",F37,G37)</f>
        <v>11.21</v>
      </c>
      <c r="I37" s="21">
        <v>1</v>
      </c>
      <c r="J37" s="21">
        <v>1</v>
      </c>
      <c r="K37" s="21">
        <v>1</v>
      </c>
      <c r="L37" s="8" t="s">
        <v>332</v>
      </c>
      <c r="M37" s="14">
        <f>IF(I37="",0,I37)*Resumen!$C$6+IF(J37="",0,J37)*Resumen!$C$7+IF(K37="",0,K37)*Resumen!$C$9</f>
        <v>1</v>
      </c>
      <c r="N37" s="14">
        <f>IF(I37="",1,I37)*Resumen!$C$6+IF(J37="",1,J37)*Resumen!$C$7+IF(K37="",1,K37)*Resumen!$C$9</f>
        <v>1</v>
      </c>
      <c r="O37" s="13">
        <f t="shared" ref="O37:O53" si="5">H37*M37</f>
        <v>11.21</v>
      </c>
      <c r="P37" s="13">
        <f t="shared" ref="P37:P53" si="6">H37*N37</f>
        <v>11.21</v>
      </c>
      <c r="Q37" s="21" t="s">
        <v>299</v>
      </c>
      <c r="R37" s="21" t="s">
        <v>299</v>
      </c>
      <c r="S37" s="21" t="s">
        <v>299</v>
      </c>
      <c r="T37" s="28"/>
      <c r="U37" s="13">
        <f>H37*((Q37="Oficial")*Resumen!$C$6+(R37="Oficial")*Resumen!$C$7+(S37="Oficial")*Resumen!$C$9)</f>
        <v>0</v>
      </c>
      <c r="V37" s="8" t="str">
        <f t="shared" ref="V37:V53" si="7">IF(COUNTIF(I37:K37,1)&gt;0,"Con entregas verificadas",IF(COUNTBLANK(I37:K37)&gt;0,"Sin evidencia municipal","Sin entregas"))</f>
        <v>Con entregas verificadas</v>
      </c>
    </row>
    <row r="38" spans="1:22" ht="23.85" customHeight="1" x14ac:dyDescent="0.25">
      <c r="A38" s="8" t="s">
        <v>212</v>
      </c>
      <c r="B38" s="8" t="s">
        <v>213</v>
      </c>
      <c r="C38" s="8" t="s">
        <v>149</v>
      </c>
      <c r="D38" s="8" t="s">
        <v>161</v>
      </c>
      <c r="E38" s="8" t="s">
        <v>128</v>
      </c>
      <c r="F38" s="16">
        <v>57.2</v>
      </c>
      <c r="H38" s="13">
        <f t="shared" si="4"/>
        <v>57.2</v>
      </c>
      <c r="I38" s="21">
        <v>1</v>
      </c>
      <c r="J38" s="21">
        <v>1</v>
      </c>
      <c r="K38" s="21">
        <v>1</v>
      </c>
      <c r="L38" s="8" t="s">
        <v>332</v>
      </c>
      <c r="M38" s="14">
        <f>IF(I38="",0,I38)*Resumen!$C$6+IF(J38="",0,J38)*Resumen!$C$7+IF(K38="",0,K38)*Resumen!$C$9</f>
        <v>1</v>
      </c>
      <c r="N38" s="14">
        <f>IF(I38="",1,I38)*Resumen!$C$6+IF(J38="",1,J38)*Resumen!$C$7+IF(K38="",1,K38)*Resumen!$C$9</f>
        <v>1</v>
      </c>
      <c r="O38" s="13">
        <f t="shared" si="5"/>
        <v>57.2</v>
      </c>
      <c r="P38" s="13">
        <f t="shared" si="6"/>
        <v>57.2</v>
      </c>
      <c r="Q38" s="21" t="s">
        <v>333</v>
      </c>
      <c r="R38" s="21" t="s">
        <v>333</v>
      </c>
      <c r="S38" s="21" t="s">
        <v>333</v>
      </c>
      <c r="T38" s="28"/>
      <c r="U38" s="13">
        <f>H38*((Q38="Oficial")*Resumen!$C$6+(R38="Oficial")*Resumen!$C$7+(S38="Oficial")*Resumen!$C$9)</f>
        <v>0</v>
      </c>
      <c r="V38" s="8" t="str">
        <f t="shared" si="7"/>
        <v>Con entregas verificadas</v>
      </c>
    </row>
    <row r="39" spans="1:22" ht="23.85" customHeight="1" x14ac:dyDescent="0.25">
      <c r="A39" s="8" t="s">
        <v>214</v>
      </c>
      <c r="B39" s="8" t="s">
        <v>215</v>
      </c>
      <c r="C39" s="8" t="s">
        <v>177</v>
      </c>
      <c r="D39" s="8" t="s">
        <v>161</v>
      </c>
      <c r="E39" s="8" t="s">
        <v>128</v>
      </c>
      <c r="F39" s="16">
        <v>462.8</v>
      </c>
      <c r="G39" s="16">
        <v>601.64</v>
      </c>
      <c r="H39" s="13">
        <f t="shared" si="4"/>
        <v>601.64</v>
      </c>
      <c r="I39" s="21">
        <v>1</v>
      </c>
      <c r="J39" s="21">
        <v>1</v>
      </c>
      <c r="K39" s="21">
        <v>1</v>
      </c>
      <c r="L39" s="8" t="s">
        <v>332</v>
      </c>
      <c r="M39" s="14">
        <f>IF(I39="",0,I39)*Resumen!$C$6+IF(J39="",0,J39)*Resumen!$C$7+IF(K39="",0,K39)*Resumen!$C$9</f>
        <v>1</v>
      </c>
      <c r="N39" s="14">
        <f>IF(I39="",1,I39)*Resumen!$C$6+IF(J39="",1,J39)*Resumen!$C$7+IF(K39="",1,K39)*Resumen!$C$9</f>
        <v>1</v>
      </c>
      <c r="O39" s="13">
        <f t="shared" si="5"/>
        <v>601.64</v>
      </c>
      <c r="P39" s="13">
        <f t="shared" si="6"/>
        <v>601.64</v>
      </c>
      <c r="Q39" s="27"/>
      <c r="R39" s="21" t="s">
        <v>299</v>
      </c>
      <c r="S39" s="21" t="s">
        <v>299</v>
      </c>
      <c r="T39" s="28"/>
      <c r="U39" s="13">
        <f>H39*((Q39="Oficial")*Resumen!$C$6+(R39="Oficial")*Resumen!$C$7+(S39="Oficial")*Resumen!$C$9)</f>
        <v>0</v>
      </c>
      <c r="V39" s="8" t="str">
        <f t="shared" si="7"/>
        <v>Con entregas verificadas</v>
      </c>
    </row>
    <row r="40" spans="1:22" ht="23.85" customHeight="1" x14ac:dyDescent="0.25">
      <c r="A40" s="8" t="s">
        <v>216</v>
      </c>
      <c r="B40" s="8" t="s">
        <v>217</v>
      </c>
      <c r="C40" s="8" t="s">
        <v>177</v>
      </c>
      <c r="D40" s="8" t="s">
        <v>161</v>
      </c>
      <c r="E40" s="8" t="s">
        <v>128</v>
      </c>
      <c r="F40" s="16">
        <v>227.5</v>
      </c>
      <c r="G40" s="16">
        <v>67.64</v>
      </c>
      <c r="H40" s="13">
        <f t="shared" si="4"/>
        <v>67.64</v>
      </c>
      <c r="I40" s="21">
        <v>1</v>
      </c>
      <c r="J40" s="21">
        <v>1</v>
      </c>
      <c r="K40" s="21">
        <v>1</v>
      </c>
      <c r="L40" s="8" t="s">
        <v>332</v>
      </c>
      <c r="M40" s="14">
        <f>IF(I40="",0,I40)*Resumen!$C$6+IF(J40="",0,J40)*Resumen!$C$7+IF(K40="",0,K40)*Resumen!$C$9</f>
        <v>1</v>
      </c>
      <c r="N40" s="14">
        <f>IF(I40="",1,I40)*Resumen!$C$6+IF(J40="",1,J40)*Resumen!$C$7+IF(K40="",1,K40)*Resumen!$C$9</f>
        <v>1</v>
      </c>
      <c r="O40" s="13">
        <f t="shared" si="5"/>
        <v>67.64</v>
      </c>
      <c r="P40" s="13">
        <f t="shared" si="6"/>
        <v>67.64</v>
      </c>
      <c r="Q40" s="21" t="s">
        <v>299</v>
      </c>
      <c r="R40" s="21" t="s">
        <v>299</v>
      </c>
      <c r="S40" s="21" t="s">
        <v>299</v>
      </c>
      <c r="T40" s="28"/>
      <c r="U40" s="13">
        <f>H40*((Q40="Oficial")*Resumen!$C$6+(R40="Oficial")*Resumen!$C$7+(S40="Oficial")*Resumen!$C$9)</f>
        <v>0</v>
      </c>
      <c r="V40" s="8" t="str">
        <f t="shared" si="7"/>
        <v>Con entregas verificadas</v>
      </c>
    </row>
    <row r="41" spans="1:22" ht="23.85" customHeight="1" x14ac:dyDescent="0.25">
      <c r="A41" s="8" t="s">
        <v>218</v>
      </c>
      <c r="B41" s="8" t="s">
        <v>219</v>
      </c>
      <c r="C41" s="8" t="s">
        <v>177</v>
      </c>
      <c r="D41" s="8" t="s">
        <v>161</v>
      </c>
      <c r="E41" s="8" t="s">
        <v>128</v>
      </c>
      <c r="F41" s="16">
        <v>248.3</v>
      </c>
      <c r="G41" s="16">
        <v>109.35</v>
      </c>
      <c r="H41" s="13">
        <f t="shared" si="4"/>
        <v>109.35</v>
      </c>
      <c r="I41" s="21">
        <v>1</v>
      </c>
      <c r="J41" s="21">
        <v>1</v>
      </c>
      <c r="K41" s="21">
        <v>1</v>
      </c>
      <c r="L41" s="8" t="s">
        <v>332</v>
      </c>
      <c r="M41" s="14">
        <f>IF(I41="",0,I41)*Resumen!$C$6+IF(J41="",0,J41)*Resumen!$C$7+IF(K41="",0,K41)*Resumen!$C$9</f>
        <v>1</v>
      </c>
      <c r="N41" s="14">
        <f>IF(I41="",1,I41)*Resumen!$C$6+IF(J41="",1,J41)*Resumen!$C$7+IF(K41="",1,K41)*Resumen!$C$9</f>
        <v>1</v>
      </c>
      <c r="O41" s="13">
        <f t="shared" si="5"/>
        <v>109.35</v>
      </c>
      <c r="P41" s="13">
        <f t="shared" si="6"/>
        <v>109.35</v>
      </c>
      <c r="Q41" s="21" t="s">
        <v>299</v>
      </c>
      <c r="R41" s="21" t="s">
        <v>299</v>
      </c>
      <c r="S41" s="21" t="s">
        <v>299</v>
      </c>
      <c r="T41" s="28"/>
      <c r="U41" s="13">
        <f>H41*((Q41="Oficial")*Resumen!$C$6+(R41="Oficial")*Resumen!$C$7+(S41="Oficial")*Resumen!$C$9)</f>
        <v>0</v>
      </c>
      <c r="V41" s="8" t="str">
        <f t="shared" si="7"/>
        <v>Con entregas verificadas</v>
      </c>
    </row>
    <row r="42" spans="1:22" ht="23.85" customHeight="1" x14ac:dyDescent="0.25">
      <c r="A42" s="8" t="s">
        <v>220</v>
      </c>
      <c r="B42" s="8" t="s">
        <v>221</v>
      </c>
      <c r="C42" s="8" t="s">
        <v>157</v>
      </c>
      <c r="D42" s="8" t="s">
        <v>161</v>
      </c>
      <c r="E42" s="8" t="s">
        <v>128</v>
      </c>
      <c r="F42" s="16">
        <v>379.6</v>
      </c>
      <c r="G42" s="16">
        <v>325.63</v>
      </c>
      <c r="H42" s="13">
        <f t="shared" si="4"/>
        <v>325.63</v>
      </c>
      <c r="I42" s="21">
        <v>1</v>
      </c>
      <c r="J42" s="21">
        <v>1</v>
      </c>
      <c r="K42" s="21">
        <v>1</v>
      </c>
      <c r="L42" s="8" t="s">
        <v>332</v>
      </c>
      <c r="M42" s="14">
        <f>IF(I42="",0,I42)*Resumen!$C$6+IF(J42="",0,J42)*Resumen!$C$7+IF(K42="",0,K42)*Resumen!$C$9</f>
        <v>1</v>
      </c>
      <c r="N42" s="14">
        <f>IF(I42="",1,I42)*Resumen!$C$6+IF(J42="",1,J42)*Resumen!$C$7+IF(K42="",1,K42)*Resumen!$C$9</f>
        <v>1</v>
      </c>
      <c r="O42" s="13">
        <f t="shared" si="5"/>
        <v>325.63</v>
      </c>
      <c r="P42" s="13">
        <f t="shared" si="6"/>
        <v>325.63</v>
      </c>
      <c r="Q42" s="21" t="s">
        <v>333</v>
      </c>
      <c r="R42" s="21" t="s">
        <v>333</v>
      </c>
      <c r="S42" s="21" t="s">
        <v>333</v>
      </c>
      <c r="T42" s="28"/>
      <c r="U42" s="13">
        <f>H42*((Q42="Oficial")*Resumen!$C$6+(R42="Oficial")*Resumen!$C$7+(S42="Oficial")*Resumen!$C$9)</f>
        <v>0</v>
      </c>
      <c r="V42" s="8" t="str">
        <f t="shared" si="7"/>
        <v>Con entregas verificadas</v>
      </c>
    </row>
    <row r="43" spans="1:22" ht="23.85" customHeight="1" x14ac:dyDescent="0.25">
      <c r="A43" s="8" t="s">
        <v>222</v>
      </c>
      <c r="B43" s="8" t="s">
        <v>223</v>
      </c>
      <c r="C43" s="8" t="s">
        <v>138</v>
      </c>
      <c r="D43" s="8" t="s">
        <v>161</v>
      </c>
      <c r="E43" s="8" t="s">
        <v>128</v>
      </c>
      <c r="F43" s="16">
        <v>50.7</v>
      </c>
      <c r="H43" s="13">
        <f t="shared" si="4"/>
        <v>50.7</v>
      </c>
      <c r="I43" s="21">
        <v>1</v>
      </c>
      <c r="J43" s="21">
        <v>1</v>
      </c>
      <c r="K43" s="21">
        <v>1</v>
      </c>
      <c r="L43" s="8" t="s">
        <v>332</v>
      </c>
      <c r="M43" s="14">
        <f>IF(I43="",0,I43)*Resumen!$C$6+IF(J43="",0,J43)*Resumen!$C$7+IF(K43="",0,K43)*Resumen!$C$9</f>
        <v>1</v>
      </c>
      <c r="N43" s="14">
        <f>IF(I43="",1,I43)*Resumen!$C$6+IF(J43="",1,J43)*Resumen!$C$7+IF(K43="",1,K43)*Resumen!$C$9</f>
        <v>1</v>
      </c>
      <c r="O43" s="13">
        <f t="shared" si="5"/>
        <v>50.7</v>
      </c>
      <c r="P43" s="13">
        <f t="shared" si="6"/>
        <v>50.7</v>
      </c>
      <c r="Q43" s="27"/>
      <c r="R43" s="27"/>
      <c r="S43" s="27"/>
      <c r="T43" s="28"/>
      <c r="U43" s="13">
        <f>H43*((Q43="Oficial")*Resumen!$C$6+(R43="Oficial")*Resumen!$C$7+(S43="Oficial")*Resumen!$C$9)</f>
        <v>0</v>
      </c>
      <c r="V43" s="8" t="str">
        <f t="shared" si="7"/>
        <v>Con entregas verificadas</v>
      </c>
    </row>
    <row r="44" spans="1:22" ht="23.85" customHeight="1" x14ac:dyDescent="0.25">
      <c r="A44" s="8" t="s">
        <v>226</v>
      </c>
      <c r="B44" s="8" t="s">
        <v>227</v>
      </c>
      <c r="C44" s="8" t="s">
        <v>185</v>
      </c>
      <c r="D44" s="8" t="s">
        <v>161</v>
      </c>
      <c r="E44" s="8" t="s">
        <v>128</v>
      </c>
      <c r="F44" s="16">
        <v>65</v>
      </c>
      <c r="G44" s="16">
        <v>147.38</v>
      </c>
      <c r="H44" s="13">
        <f t="shared" si="4"/>
        <v>147.38</v>
      </c>
      <c r="I44" s="21">
        <v>1</v>
      </c>
      <c r="J44" s="21">
        <v>1</v>
      </c>
      <c r="K44" s="21">
        <v>1</v>
      </c>
      <c r="L44" s="8" t="s">
        <v>332</v>
      </c>
      <c r="M44" s="14">
        <f>IF(I44="",0,I44)*Resumen!$C$6+IF(J44="",0,J44)*Resumen!$C$7+IF(K44="",0,K44)*Resumen!$C$9</f>
        <v>1</v>
      </c>
      <c r="N44" s="14">
        <f>IF(I44="",1,I44)*Resumen!$C$6+IF(J44="",1,J44)*Resumen!$C$7+IF(K44="",1,K44)*Resumen!$C$9</f>
        <v>1</v>
      </c>
      <c r="O44" s="13">
        <f t="shared" si="5"/>
        <v>147.38</v>
      </c>
      <c r="P44" s="13">
        <f t="shared" si="6"/>
        <v>147.38</v>
      </c>
      <c r="Q44" s="21" t="s">
        <v>299</v>
      </c>
      <c r="R44" s="21" t="s">
        <v>299</v>
      </c>
      <c r="S44" s="21" t="s">
        <v>299</v>
      </c>
      <c r="T44" s="28"/>
      <c r="U44" s="13">
        <f>H44*((Q44="Oficial")*Resumen!$C$6+(R44="Oficial")*Resumen!$C$7+(S44="Oficial")*Resumen!$C$9)</f>
        <v>0</v>
      </c>
      <c r="V44" s="8" t="str">
        <f t="shared" si="7"/>
        <v>Con entregas verificadas</v>
      </c>
    </row>
    <row r="45" spans="1:22" ht="23.85" customHeight="1" x14ac:dyDescent="0.25">
      <c r="A45" s="8" t="s">
        <v>230</v>
      </c>
      <c r="B45" s="8" t="s">
        <v>231</v>
      </c>
      <c r="C45" s="8" t="s">
        <v>138</v>
      </c>
      <c r="D45" s="8" t="s">
        <v>161</v>
      </c>
      <c r="E45" s="8" t="s">
        <v>128</v>
      </c>
      <c r="F45" s="16">
        <v>240.5</v>
      </c>
      <c r="G45" s="16">
        <v>235.7</v>
      </c>
      <c r="H45" s="13">
        <f t="shared" si="4"/>
        <v>235.7</v>
      </c>
      <c r="I45" s="21">
        <v>1</v>
      </c>
      <c r="J45" s="21">
        <v>1</v>
      </c>
      <c r="K45" s="21">
        <v>1</v>
      </c>
      <c r="L45" s="8" t="s">
        <v>332</v>
      </c>
      <c r="M45" s="14">
        <f>IF(I45="",0,I45)*Resumen!$C$6+IF(J45="",0,J45)*Resumen!$C$7+IF(K45="",0,K45)*Resumen!$C$9</f>
        <v>1</v>
      </c>
      <c r="N45" s="14">
        <f>IF(I45="",1,I45)*Resumen!$C$6+IF(J45="",1,J45)*Resumen!$C$7+IF(K45="",1,K45)*Resumen!$C$9</f>
        <v>1</v>
      </c>
      <c r="O45" s="13">
        <f t="shared" si="5"/>
        <v>235.7</v>
      </c>
      <c r="P45" s="13">
        <f t="shared" si="6"/>
        <v>235.7</v>
      </c>
      <c r="Q45" s="21" t="s">
        <v>299</v>
      </c>
      <c r="R45" s="21" t="s">
        <v>299</v>
      </c>
      <c r="S45" s="21" t="s">
        <v>299</v>
      </c>
      <c r="T45" s="28"/>
      <c r="U45" s="13">
        <f>H45*((Q45="Oficial")*Resumen!$C$6+(R45="Oficial")*Resumen!$C$7+(S45="Oficial")*Resumen!$C$9)</f>
        <v>0</v>
      </c>
      <c r="V45" s="8" t="str">
        <f t="shared" si="7"/>
        <v>Con entregas verificadas</v>
      </c>
    </row>
    <row r="46" spans="1:22" ht="23.85" customHeight="1" x14ac:dyDescent="0.25">
      <c r="A46" s="8" t="s">
        <v>232</v>
      </c>
      <c r="B46" s="8" t="s">
        <v>233</v>
      </c>
      <c r="C46" s="8" t="s">
        <v>157</v>
      </c>
      <c r="D46" s="8" t="s">
        <v>161</v>
      </c>
      <c r="E46" s="8" t="s">
        <v>128</v>
      </c>
      <c r="F46" s="16">
        <v>128.69999999999999</v>
      </c>
      <c r="G46" s="16">
        <v>83.18</v>
      </c>
      <c r="H46" s="13">
        <f t="shared" si="4"/>
        <v>83.18</v>
      </c>
      <c r="I46" s="21">
        <v>1</v>
      </c>
      <c r="J46" s="21">
        <v>1</v>
      </c>
      <c r="K46" s="21">
        <v>1</v>
      </c>
      <c r="L46" s="8" t="s">
        <v>332</v>
      </c>
      <c r="M46" s="14">
        <f>IF(I46="",0,I46)*Resumen!$C$6+IF(J46="",0,J46)*Resumen!$C$7+IF(K46="",0,K46)*Resumen!$C$9</f>
        <v>1</v>
      </c>
      <c r="N46" s="14">
        <f>IF(I46="",1,I46)*Resumen!$C$6+IF(J46="",1,J46)*Resumen!$C$7+IF(K46="",1,K46)*Resumen!$C$9</f>
        <v>1</v>
      </c>
      <c r="O46" s="13">
        <f t="shared" si="5"/>
        <v>83.18</v>
      </c>
      <c r="P46" s="13">
        <f t="shared" si="6"/>
        <v>83.18</v>
      </c>
      <c r="Q46" s="21" t="s">
        <v>299</v>
      </c>
      <c r="R46" s="21" t="s">
        <v>299</v>
      </c>
      <c r="S46" s="21" t="s">
        <v>299</v>
      </c>
      <c r="T46" s="28"/>
      <c r="U46" s="13">
        <f>H46*((Q46="Oficial")*Resumen!$C$6+(R46="Oficial")*Resumen!$C$7+(S46="Oficial")*Resumen!$C$9)</f>
        <v>0</v>
      </c>
      <c r="V46" s="8" t="str">
        <f t="shared" si="7"/>
        <v>Con entregas verificadas</v>
      </c>
    </row>
    <row r="47" spans="1:22" ht="23.85" customHeight="1" x14ac:dyDescent="0.25">
      <c r="A47" s="8" t="s">
        <v>234</v>
      </c>
      <c r="B47" s="8" t="s">
        <v>235</v>
      </c>
      <c r="C47" s="8" t="s">
        <v>138</v>
      </c>
      <c r="D47" s="8" t="s">
        <v>161</v>
      </c>
      <c r="E47" s="8" t="s">
        <v>128</v>
      </c>
      <c r="F47" s="16">
        <v>704.6</v>
      </c>
      <c r="G47" s="16">
        <v>584.66</v>
      </c>
      <c r="H47" s="13">
        <f t="shared" si="4"/>
        <v>584.66</v>
      </c>
      <c r="I47" s="21">
        <v>1</v>
      </c>
      <c r="J47" s="21">
        <v>1</v>
      </c>
      <c r="K47" s="21">
        <v>1</v>
      </c>
      <c r="L47" s="8" t="s">
        <v>332</v>
      </c>
      <c r="M47" s="14">
        <f>IF(I47="",0,I47)*Resumen!$C$6+IF(J47="",0,J47)*Resumen!$C$7+IF(K47="",0,K47)*Resumen!$C$9</f>
        <v>1</v>
      </c>
      <c r="N47" s="14">
        <f>IF(I47="",1,I47)*Resumen!$C$6+IF(J47="",1,J47)*Resumen!$C$7+IF(K47="",1,K47)*Resumen!$C$9</f>
        <v>1</v>
      </c>
      <c r="O47" s="13">
        <f t="shared" si="5"/>
        <v>584.66</v>
      </c>
      <c r="P47" s="13">
        <f t="shared" si="6"/>
        <v>584.66</v>
      </c>
      <c r="Q47" s="21" t="s">
        <v>299</v>
      </c>
      <c r="R47" s="21" t="s">
        <v>299</v>
      </c>
      <c r="S47" s="21" t="s">
        <v>299</v>
      </c>
      <c r="T47" s="28"/>
      <c r="U47" s="13">
        <f>H47*((Q47="Oficial")*Resumen!$C$6+(R47="Oficial")*Resumen!$C$7+(S47="Oficial")*Resumen!$C$9)</f>
        <v>0</v>
      </c>
      <c r="V47" s="8" t="str">
        <f t="shared" si="7"/>
        <v>Con entregas verificadas</v>
      </c>
    </row>
    <row r="48" spans="1:22" ht="23.85" customHeight="1" x14ac:dyDescent="0.25">
      <c r="A48" s="8" t="s">
        <v>236</v>
      </c>
      <c r="B48" s="8" t="s">
        <v>237</v>
      </c>
      <c r="C48" s="8" t="s">
        <v>157</v>
      </c>
      <c r="D48" s="8" t="s">
        <v>161</v>
      </c>
      <c r="E48" s="8" t="s">
        <v>128</v>
      </c>
      <c r="F48" s="16">
        <v>98.8</v>
      </c>
      <c r="H48" s="13">
        <f t="shared" si="4"/>
        <v>98.8</v>
      </c>
      <c r="I48" s="21">
        <v>1</v>
      </c>
      <c r="J48" s="21">
        <v>1</v>
      </c>
      <c r="K48" s="21">
        <v>1</v>
      </c>
      <c r="L48" s="8" t="s">
        <v>332</v>
      </c>
      <c r="M48" s="14">
        <f>IF(I48="",0,I48)*Resumen!$C$6+IF(J48="",0,J48)*Resumen!$C$7+IF(K48="",0,K48)*Resumen!$C$9</f>
        <v>1</v>
      </c>
      <c r="N48" s="14">
        <f>IF(I48="",1,I48)*Resumen!$C$6+IF(J48="",1,J48)*Resumen!$C$7+IF(K48="",1,K48)*Resumen!$C$9</f>
        <v>1</v>
      </c>
      <c r="O48" s="13">
        <f t="shared" si="5"/>
        <v>98.8</v>
      </c>
      <c r="P48" s="13">
        <f t="shared" si="6"/>
        <v>98.8</v>
      </c>
      <c r="Q48" s="21" t="s">
        <v>333</v>
      </c>
      <c r="R48" s="21" t="s">
        <v>333</v>
      </c>
      <c r="S48" s="21" t="s">
        <v>333</v>
      </c>
      <c r="T48" s="28"/>
      <c r="U48" s="13">
        <f>H48*((Q48="Oficial")*Resumen!$C$6+(R48="Oficial")*Resumen!$C$7+(S48="Oficial")*Resumen!$C$9)</f>
        <v>0</v>
      </c>
      <c r="V48" s="8" t="str">
        <f t="shared" si="7"/>
        <v>Con entregas verificadas</v>
      </c>
    </row>
    <row r="49" spans="1:22" ht="23.85" customHeight="1" x14ac:dyDescent="0.25">
      <c r="A49" s="8" t="s">
        <v>240</v>
      </c>
      <c r="B49" s="8" t="s">
        <v>241</v>
      </c>
      <c r="C49" s="8" t="s">
        <v>138</v>
      </c>
      <c r="D49" s="8" t="s">
        <v>161</v>
      </c>
      <c r="E49" s="8" t="s">
        <v>128</v>
      </c>
      <c r="F49" s="16">
        <v>31.2</v>
      </c>
      <c r="H49" s="13">
        <f t="shared" si="4"/>
        <v>31.2</v>
      </c>
      <c r="I49" s="21">
        <v>1</v>
      </c>
      <c r="J49" s="21">
        <v>1</v>
      </c>
      <c r="K49" s="21">
        <v>1</v>
      </c>
      <c r="L49" s="8" t="s">
        <v>332</v>
      </c>
      <c r="M49" s="14">
        <f>IF(I49="",0,I49)*Resumen!$C$6+IF(J49="",0,J49)*Resumen!$C$7+IF(K49="",0,K49)*Resumen!$C$9</f>
        <v>1</v>
      </c>
      <c r="N49" s="14">
        <f>IF(I49="",1,I49)*Resumen!$C$6+IF(J49="",1,J49)*Resumen!$C$7+IF(K49="",1,K49)*Resumen!$C$9</f>
        <v>1</v>
      </c>
      <c r="O49" s="13">
        <f t="shared" si="5"/>
        <v>31.2</v>
      </c>
      <c r="P49" s="13">
        <f t="shared" si="6"/>
        <v>31.2</v>
      </c>
      <c r="Q49" s="21" t="s">
        <v>333</v>
      </c>
      <c r="R49" s="21" t="s">
        <v>333</v>
      </c>
      <c r="S49" s="27"/>
      <c r="T49" s="28"/>
      <c r="U49" s="13">
        <f>H49*((Q49="Oficial")*Resumen!$C$6+(R49="Oficial")*Resumen!$C$7+(S49="Oficial")*Resumen!$C$9)</f>
        <v>0</v>
      </c>
      <c r="V49" s="8" t="str">
        <f t="shared" si="7"/>
        <v>Con entregas verificadas</v>
      </c>
    </row>
    <row r="50" spans="1:22" ht="23.85" customHeight="1" x14ac:dyDescent="0.25">
      <c r="A50" s="8" t="s">
        <v>244</v>
      </c>
      <c r="B50" s="8" t="s">
        <v>245</v>
      </c>
      <c r="C50" s="8" t="s">
        <v>149</v>
      </c>
      <c r="D50" s="8" t="s">
        <v>161</v>
      </c>
      <c r="E50" s="8" t="s">
        <v>128</v>
      </c>
      <c r="F50" s="16">
        <v>33.799999999999997</v>
      </c>
      <c r="H50" s="13">
        <f t="shared" si="4"/>
        <v>33.799999999999997</v>
      </c>
      <c r="I50" s="21">
        <v>1</v>
      </c>
      <c r="J50" s="21">
        <v>1</v>
      </c>
      <c r="K50" s="21">
        <v>1</v>
      </c>
      <c r="L50" s="8" t="s">
        <v>332</v>
      </c>
      <c r="M50" s="14">
        <f>IF(I50="",0,I50)*Resumen!$C$6+IF(J50="",0,J50)*Resumen!$C$7+IF(K50="",0,K50)*Resumen!$C$9</f>
        <v>1</v>
      </c>
      <c r="N50" s="14">
        <f>IF(I50="",1,I50)*Resumen!$C$6+IF(J50="",1,J50)*Resumen!$C$7+IF(K50="",1,K50)*Resumen!$C$9</f>
        <v>1</v>
      </c>
      <c r="O50" s="13">
        <f t="shared" si="5"/>
        <v>33.799999999999997</v>
      </c>
      <c r="P50" s="13">
        <f t="shared" si="6"/>
        <v>33.799999999999997</v>
      </c>
      <c r="Q50" s="27"/>
      <c r="R50" s="21" t="s">
        <v>333</v>
      </c>
      <c r="S50" s="27"/>
      <c r="T50" s="28"/>
      <c r="U50" s="13">
        <f>H50*((Q50="Oficial")*Resumen!$C$6+(R50="Oficial")*Resumen!$C$7+(S50="Oficial")*Resumen!$C$9)</f>
        <v>0</v>
      </c>
      <c r="V50" s="8" t="str">
        <f t="shared" si="7"/>
        <v>Con entregas verificadas</v>
      </c>
    </row>
    <row r="51" spans="1:22" ht="23.85" customHeight="1" x14ac:dyDescent="0.25">
      <c r="A51" s="8" t="s">
        <v>248</v>
      </c>
      <c r="B51" s="8" t="s">
        <v>249</v>
      </c>
      <c r="C51" s="8" t="s">
        <v>138</v>
      </c>
      <c r="D51" s="8" t="s">
        <v>161</v>
      </c>
      <c r="E51" s="8" t="s">
        <v>128</v>
      </c>
      <c r="F51" s="16">
        <v>345.8</v>
      </c>
      <c r="G51" s="16">
        <v>280.66000000000003</v>
      </c>
      <c r="H51" s="13">
        <f t="shared" si="4"/>
        <v>280.66000000000003</v>
      </c>
      <c r="I51" s="21">
        <v>1</v>
      </c>
      <c r="J51" s="21">
        <v>1</v>
      </c>
      <c r="K51" s="21">
        <v>1</v>
      </c>
      <c r="L51" s="8" t="s">
        <v>332</v>
      </c>
      <c r="M51" s="14">
        <f>IF(I51="",0,I51)*Resumen!$C$6+IF(J51="",0,J51)*Resumen!$C$7+IF(K51="",0,K51)*Resumen!$C$9</f>
        <v>1</v>
      </c>
      <c r="N51" s="14">
        <f>IF(I51="",1,I51)*Resumen!$C$6+IF(J51="",1,J51)*Resumen!$C$7+IF(K51="",1,K51)*Resumen!$C$9</f>
        <v>1</v>
      </c>
      <c r="O51" s="13">
        <f t="shared" si="5"/>
        <v>280.66000000000003</v>
      </c>
      <c r="P51" s="13">
        <f t="shared" si="6"/>
        <v>280.66000000000003</v>
      </c>
      <c r="Q51" s="21" t="s">
        <v>299</v>
      </c>
      <c r="R51" s="21" t="s">
        <v>299</v>
      </c>
      <c r="S51" s="21" t="s">
        <v>299</v>
      </c>
      <c r="T51" s="28"/>
      <c r="U51" s="13">
        <f>H51*((Q51="Oficial")*Resumen!$C$6+(R51="Oficial")*Resumen!$C$7+(S51="Oficial")*Resumen!$C$9)</f>
        <v>0</v>
      </c>
      <c r="V51" s="8" t="str">
        <f t="shared" si="7"/>
        <v>Con entregas verificadas</v>
      </c>
    </row>
    <row r="52" spans="1:22" ht="23.85" customHeight="1" x14ac:dyDescent="0.25">
      <c r="A52" s="8" t="s">
        <v>250</v>
      </c>
      <c r="B52" s="8" t="s">
        <v>251</v>
      </c>
      <c r="C52" s="8" t="s">
        <v>177</v>
      </c>
      <c r="D52" s="8" t="s">
        <v>161</v>
      </c>
      <c r="E52" s="8" t="s">
        <v>128</v>
      </c>
      <c r="F52" s="16">
        <v>366.6</v>
      </c>
      <c r="G52" s="16">
        <v>315.47000000000003</v>
      </c>
      <c r="H52" s="13">
        <f t="shared" si="4"/>
        <v>315.47000000000003</v>
      </c>
      <c r="I52" s="21">
        <v>1</v>
      </c>
      <c r="J52" s="21">
        <v>1</v>
      </c>
      <c r="K52" s="21">
        <v>1</v>
      </c>
      <c r="L52" s="8" t="s">
        <v>332</v>
      </c>
      <c r="M52" s="14">
        <f>IF(I52="",0,I52)*Resumen!$C$6+IF(J52="",0,J52)*Resumen!$C$7+IF(K52="",0,K52)*Resumen!$C$9</f>
        <v>1</v>
      </c>
      <c r="N52" s="14">
        <f>IF(I52="",1,I52)*Resumen!$C$6+IF(J52="",1,J52)*Resumen!$C$7+IF(K52="",1,K52)*Resumen!$C$9</f>
        <v>1</v>
      </c>
      <c r="O52" s="13">
        <f t="shared" si="5"/>
        <v>315.47000000000003</v>
      </c>
      <c r="P52" s="13">
        <f t="shared" si="6"/>
        <v>315.47000000000003</v>
      </c>
      <c r="Q52" s="21" t="s">
        <v>299</v>
      </c>
      <c r="R52" s="21" t="s">
        <v>299</v>
      </c>
      <c r="S52" s="27"/>
      <c r="T52" s="28"/>
      <c r="U52" s="13">
        <f>H52*((Q52="Oficial")*Resumen!$C$6+(R52="Oficial")*Resumen!$C$7+(S52="Oficial")*Resumen!$C$9)</f>
        <v>0</v>
      </c>
      <c r="V52" s="8" t="str">
        <f t="shared" si="7"/>
        <v>Con entregas verificadas</v>
      </c>
    </row>
    <row r="53" spans="1:22" ht="23.85" customHeight="1" x14ac:dyDescent="0.25">
      <c r="A53" s="8" t="s">
        <v>269</v>
      </c>
      <c r="B53" s="8" t="s">
        <v>270</v>
      </c>
      <c r="C53" s="8" t="s">
        <v>180</v>
      </c>
      <c r="D53" s="8" t="s">
        <v>161</v>
      </c>
      <c r="E53" s="8" t="s">
        <v>128</v>
      </c>
      <c r="F53" s="16">
        <v>204.1</v>
      </c>
      <c r="H53" s="13">
        <f t="shared" si="4"/>
        <v>204.1</v>
      </c>
      <c r="I53" s="21">
        <v>1</v>
      </c>
      <c r="J53" s="21">
        <v>1</v>
      </c>
      <c r="K53" s="21">
        <v>1</v>
      </c>
      <c r="L53" s="8" t="s">
        <v>332</v>
      </c>
      <c r="M53" s="14">
        <f>IF(I53="",0,I53)*Resumen!$C$6+IF(J53="",0,J53)*Resumen!$C$7+IF(K53="",0,K53)*Resumen!$C$9</f>
        <v>1</v>
      </c>
      <c r="N53" s="14">
        <f>IF(I53="",1,I53)*Resumen!$C$6+IF(J53="",1,J53)*Resumen!$C$7+IF(K53="",1,K53)*Resumen!$C$9</f>
        <v>1</v>
      </c>
      <c r="O53" s="13">
        <f t="shared" si="5"/>
        <v>204.1</v>
      </c>
      <c r="P53" s="13">
        <f t="shared" si="6"/>
        <v>204.1</v>
      </c>
      <c r="Q53" s="21" t="s">
        <v>333</v>
      </c>
      <c r="R53" s="21" t="s">
        <v>333</v>
      </c>
      <c r="S53" s="21" t="s">
        <v>333</v>
      </c>
      <c r="T53" s="28"/>
      <c r="U53" s="13">
        <f>H53*((Q53="Oficial")*Resumen!$C$6+(R53="Oficial")*Resumen!$C$7+(S53="Oficial")*Resumen!$C$9)</f>
        <v>0</v>
      </c>
      <c r="V53" s="8" t="str">
        <f t="shared" si="7"/>
        <v>Con entregas verificadas</v>
      </c>
    </row>
    <row r="54" spans="1:22" ht="15" customHeight="1" x14ac:dyDescent="0.25">
      <c r="A54" s="22"/>
      <c r="B54" s="10" t="s">
        <v>252</v>
      </c>
      <c r="C54" s="22"/>
      <c r="D54" s="22"/>
      <c r="E54" s="22"/>
      <c r="F54" s="23">
        <f t="shared" ref="F54:K54" si="8">SUM(F5:F53)</f>
        <v>8909.11</v>
      </c>
      <c r="G54" s="23">
        <f t="shared" si="8"/>
        <v>5148.9299999999994</v>
      </c>
      <c r="H54" s="23">
        <f t="shared" si="8"/>
        <v>8338.0400000000009</v>
      </c>
      <c r="I54" s="10">
        <f t="shared" si="8"/>
        <v>49</v>
      </c>
      <c r="J54" s="10">
        <f t="shared" si="8"/>
        <v>49</v>
      </c>
      <c r="K54" s="10">
        <f t="shared" si="8"/>
        <v>48</v>
      </c>
      <c r="L54" s="10" t="str">
        <f>"Celdas sin dato: "&amp;COUNTBLANK(I5:K53)&amp;" de "&amp;147</f>
        <v>Celdas sin dato: 0 de 147</v>
      </c>
      <c r="M54" s="24">
        <f>IF(H54=0,0,O54/H54)</f>
        <v>0.99923603148941464</v>
      </c>
      <c r="N54" s="24">
        <f>IF(H54=0,0,P54/H54)</f>
        <v>0.99923603148941464</v>
      </c>
      <c r="O54" s="23">
        <f>SUM(O5:O53)</f>
        <v>8331.67</v>
      </c>
      <c r="P54" s="23">
        <f>SUM(P5:P53)</f>
        <v>8331.67</v>
      </c>
      <c r="Q54" s="22"/>
      <c r="R54" s="22"/>
      <c r="S54" s="22"/>
      <c r="T54" s="22"/>
      <c r="U54" s="23">
        <f>SUM(U5:U53)</f>
        <v>0</v>
      </c>
      <c r="V54" s="10" t="str">
        <f>COUNTIF(V5:V53,"Con entregas verificadas")&amp;" con entregas verificadas de "&amp;COUNTA(B5:B53)</f>
        <v>49 con entregas verificadas de 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3"/>
  <sheetViews>
    <sheetView zoomScale="40" zoomScaleNormal="4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5" width="10" style="4" customWidth="1"/>
    <col min="6" max="8" width="14" style="4" customWidth="1"/>
    <col min="9" max="11" width="13" style="4" customWidth="1"/>
    <col min="12" max="12" width="48" style="4" customWidth="1"/>
    <col min="13" max="19" width="13" style="4" customWidth="1"/>
    <col min="20" max="20" width="40" style="4" customWidth="1"/>
    <col min="21" max="21" width="13" style="4" customWidth="1"/>
    <col min="22" max="22" width="24" style="4" customWidth="1"/>
    <col min="23" max="34" width="11" style="4" customWidth="1"/>
  </cols>
  <sheetData>
    <row r="1" spans="1:34" ht="15" customHeight="1" x14ac:dyDescent="0.25">
      <c r="A1" s="5" t="s">
        <v>338</v>
      </c>
    </row>
    <row r="2" spans="1:34" ht="15" customHeight="1" x14ac:dyDescent="0.25">
      <c r="A2" s="6" t="s">
        <v>339</v>
      </c>
    </row>
    <row r="4" spans="1:34" ht="51.75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101</v>
      </c>
      <c r="F4" s="20" t="s">
        <v>102</v>
      </c>
      <c r="G4" s="20" t="s">
        <v>103</v>
      </c>
      <c r="H4" s="20" t="s">
        <v>104</v>
      </c>
      <c r="I4" s="20" t="s">
        <v>273</v>
      </c>
      <c r="J4" s="20" t="s">
        <v>274</v>
      </c>
      <c r="K4" s="20" t="s">
        <v>275</v>
      </c>
      <c r="L4" s="20" t="s">
        <v>276</v>
      </c>
      <c r="M4" s="20" t="s">
        <v>277</v>
      </c>
      <c r="N4" s="20" t="s">
        <v>278</v>
      </c>
      <c r="O4" s="20" t="s">
        <v>279</v>
      </c>
      <c r="P4" s="20" t="s">
        <v>280</v>
      </c>
      <c r="Q4" s="20" t="s">
        <v>281</v>
      </c>
      <c r="R4" s="20" t="s">
        <v>282</v>
      </c>
      <c r="S4" s="20" t="s">
        <v>283</v>
      </c>
      <c r="T4" s="20" t="s">
        <v>284</v>
      </c>
      <c r="U4" s="20" t="s">
        <v>285</v>
      </c>
      <c r="V4" s="20" t="s">
        <v>116</v>
      </c>
      <c r="W4" s="25" t="s">
        <v>286</v>
      </c>
      <c r="X4" s="25" t="s">
        <v>287</v>
      </c>
      <c r="Y4" s="25" t="s">
        <v>288</v>
      </c>
      <c r="Z4" s="25" t="s">
        <v>289</v>
      </c>
      <c r="AA4" s="25" t="s">
        <v>290</v>
      </c>
      <c r="AB4" s="25" t="s">
        <v>291</v>
      </c>
      <c r="AC4" s="25" t="s">
        <v>292</v>
      </c>
      <c r="AD4" s="25" t="s">
        <v>293</v>
      </c>
      <c r="AE4" s="25" t="s">
        <v>294</v>
      </c>
      <c r="AF4" s="25" t="s">
        <v>295</v>
      </c>
      <c r="AG4" s="25" t="s">
        <v>296</v>
      </c>
      <c r="AH4" s="25" t="s">
        <v>297</v>
      </c>
    </row>
    <row r="5" spans="1:34" ht="35.1" customHeight="1" x14ac:dyDescent="0.25">
      <c r="A5" s="8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16">
        <v>24405</v>
      </c>
      <c r="G5" s="16">
        <v>24404.89</v>
      </c>
      <c r="H5" s="13">
        <f t="shared" ref="H5:H36" si="0">IF(G5="",F5,G5)</f>
        <v>24404.89</v>
      </c>
      <c r="I5" s="21">
        <v>1</v>
      </c>
      <c r="J5" s="21">
        <v>1</v>
      </c>
      <c r="K5" s="21">
        <v>1</v>
      </c>
      <c r="L5" s="8" t="s">
        <v>340</v>
      </c>
      <c r="M5" s="14">
        <f>Y5*Resumen!$C$6+AC5*Resumen!$C$7+AG5*Resumen!$C$9</f>
        <v>1</v>
      </c>
      <c r="N5" s="14">
        <f>Z5*Resumen!$C$6+AD5*Resumen!$C$7+AH5*Resumen!$C$9</f>
        <v>1</v>
      </c>
      <c r="O5" s="13">
        <f t="shared" ref="O5:O36" si="1">H5*M5</f>
        <v>24404.89</v>
      </c>
      <c r="P5" s="13">
        <f t="shared" ref="P5:P36" si="2">H5*N5</f>
        <v>24404.89</v>
      </c>
      <c r="Q5" s="21" t="s">
        <v>341</v>
      </c>
      <c r="R5" s="21" t="s">
        <v>341</v>
      </c>
      <c r="S5" s="21" t="s">
        <v>341</v>
      </c>
      <c r="T5" s="28"/>
      <c r="U5" s="13">
        <f>H5*((Q5="Oficial")*Resumen!$C$6+(R5="Oficial")*Resumen!$C$7+(S5="Oficial")*Resumen!$C$9)</f>
        <v>0</v>
      </c>
      <c r="V5" s="8" t="str">
        <f t="shared" ref="V5:V36" si="3">IF(COUNTIF(I5:K5,1)&gt;0,"Con entregas verificadas",IF(COUNTBLANK(I5:K5)&gt;0,"Sin evidencia municipal","Sin entregas"))</f>
        <v>Con entregas verificadas</v>
      </c>
      <c r="W5" s="8" t="str">
        <f>IF(I5="",SUMPRODUCT(($I$5:$I$69="")*($H$5:$H$69&lt;H5))+SUMPRODUCT((I$5:I5="")*($H$5:H5=H5)),"")</f>
        <v/>
      </c>
      <c r="X5" s="8" t="str">
        <f>IF(I5="",SUMPRODUCT(($I$5:$I$69="")*($H$5:$H$69&gt;H5))+SUMPRODUCT((I$5:I5="")*($H$5:H5=H5)),"")</f>
        <v/>
      </c>
      <c r="Y5" s="8">
        <f t="shared" ref="Y5:Y36" si="4">IF(I5="",IF(W5&lt;=$I$73,1,0),I5)</f>
        <v>1</v>
      </c>
      <c r="Z5" s="8">
        <f t="shared" ref="Z5:Z36" si="5">IF(I5="",IF(X5&lt;=$I$73,1,0),I5)</f>
        <v>1</v>
      </c>
      <c r="AA5" s="8" t="str">
        <f>IF(J5="",SUMPRODUCT(($J$5:$J$69="")*($H$5:$H$69&lt;H5))+SUMPRODUCT((J$5:J5="")*($H$5:H5=H5)),"")</f>
        <v/>
      </c>
      <c r="AB5" s="8" t="str">
        <f>IF(J5="",SUMPRODUCT(($J$5:$J$69="")*($H$5:$H$69&gt;H5))+SUMPRODUCT((J$5:J5="")*($H$5:H5=H5)),"")</f>
        <v/>
      </c>
      <c r="AC5" s="8">
        <f t="shared" ref="AC5:AC36" si="6">IF(J5="",IF(AA5&lt;=$J$73,1,0),J5)</f>
        <v>1</v>
      </c>
      <c r="AD5" s="8">
        <f t="shared" ref="AD5:AD36" si="7">IF(J5="",IF(AB5&lt;=$J$73,1,0),J5)</f>
        <v>1</v>
      </c>
      <c r="AE5" s="8" t="str">
        <f>IF(K5="",SUMPRODUCT(($K$5:$K$69="")*($H$5:$H$69&lt;H5))+SUMPRODUCT((K$5:K5="")*($H$5:H5=H5)),"")</f>
        <v/>
      </c>
      <c r="AF5" s="8" t="str">
        <f>IF(K5="",SUMPRODUCT(($K$5:$K$69="")*($H$5:$H$69&gt;H5))+SUMPRODUCT((K$5:K5="")*($H$5:H5=H5)),"")</f>
        <v/>
      </c>
      <c r="AG5" s="8">
        <f t="shared" ref="AG5:AG36" si="8">IF(K5="",IF(AE5&lt;=$K$73,1,0),K5)</f>
        <v>1</v>
      </c>
      <c r="AH5" s="8">
        <f t="shared" ref="AH5:AH36" si="9">IF(K5="",IF(AF5&lt;=$K$73,1,0),K5)</f>
        <v>1</v>
      </c>
    </row>
    <row r="6" spans="1:34" ht="15" customHeight="1" x14ac:dyDescent="0.25">
      <c r="A6" s="8" t="s">
        <v>130</v>
      </c>
      <c r="B6" s="8" t="s">
        <v>131</v>
      </c>
      <c r="C6" s="8" t="s">
        <v>126</v>
      </c>
      <c r="D6" s="8" t="s">
        <v>127</v>
      </c>
      <c r="E6" s="8" t="s">
        <v>128</v>
      </c>
      <c r="F6" s="16">
        <v>20260</v>
      </c>
      <c r="H6" s="13">
        <f t="shared" si="0"/>
        <v>20260</v>
      </c>
      <c r="I6" s="26"/>
      <c r="J6" s="26"/>
      <c r="K6" s="21">
        <v>1</v>
      </c>
      <c r="L6" s="8" t="s">
        <v>342</v>
      </c>
      <c r="M6" s="14">
        <f>Y6*Resumen!$C$6+AC6*Resumen!$C$7+AG6*Resumen!$C$9</f>
        <v>1</v>
      </c>
      <c r="N6" s="14">
        <f>Z6*Resumen!$C$6+AD6*Resumen!$C$7+AH6*Resumen!$C$9</f>
        <v>1</v>
      </c>
      <c r="O6" s="13">
        <f t="shared" si="1"/>
        <v>20260</v>
      </c>
      <c r="P6" s="13">
        <f t="shared" si="2"/>
        <v>20260</v>
      </c>
      <c r="Q6" s="27"/>
      <c r="R6" s="27"/>
      <c r="S6" s="21" t="s">
        <v>343</v>
      </c>
      <c r="T6" s="28"/>
      <c r="U6" s="13">
        <f>H6*((Q6="Oficial")*Resumen!$C$6+(R6="Oficial")*Resumen!$C$7+(S6="Oficial")*Resumen!$C$9)</f>
        <v>0</v>
      </c>
      <c r="V6" s="8" t="str">
        <f t="shared" si="3"/>
        <v>Con entregas verificadas</v>
      </c>
      <c r="W6" s="8">
        <f>IF(I6="",SUMPRODUCT(($I$5:$I$69="")*($H$5:$H$69&lt;H6))+SUMPRODUCT((I$5:I6="")*($H$5:H6=H6)),"")</f>
        <v>4</v>
      </c>
      <c r="X6" s="8">
        <f>IF(I6="",SUMPRODUCT(($I$5:$I$69="")*($H$5:$H$69&gt;H6))+SUMPRODUCT((I$5:I6="")*($H$5:H6=H6)),"")</f>
        <v>25</v>
      </c>
      <c r="Y6" s="8">
        <f t="shared" si="4"/>
        <v>1</v>
      </c>
      <c r="Z6" s="8">
        <f t="shared" si="5"/>
        <v>1</v>
      </c>
      <c r="AA6" s="8">
        <f>IF(J6="",SUMPRODUCT(($J$5:$J$69="")*($H$5:$H$69&lt;H6))+SUMPRODUCT((J$5:J6="")*($H$5:H6=H6)),"")</f>
        <v>4</v>
      </c>
      <c r="AB6" s="8">
        <f>IF(J6="",SUMPRODUCT(($J$5:$J$69="")*($H$5:$H$69&gt;H6))+SUMPRODUCT((J$5:J6="")*($H$5:H6=H6)),"")</f>
        <v>26</v>
      </c>
      <c r="AC6" s="8">
        <f t="shared" si="6"/>
        <v>1</v>
      </c>
      <c r="AD6" s="8">
        <f t="shared" si="7"/>
        <v>1</v>
      </c>
      <c r="AE6" s="8" t="str">
        <f>IF(K6="",SUMPRODUCT(($K$5:$K$69="")*($H$5:$H$69&lt;H6))+SUMPRODUCT((K$5:K6="")*($H$5:H6=H6)),"")</f>
        <v/>
      </c>
      <c r="AF6" s="8" t="str">
        <f>IF(K6="",SUMPRODUCT(($K$5:$K$69="")*($H$5:$H$69&gt;H6))+SUMPRODUCT((K$5:K6="")*($H$5:H6=H6)),"")</f>
        <v/>
      </c>
      <c r="AG6" s="8">
        <f t="shared" si="8"/>
        <v>1</v>
      </c>
      <c r="AH6" s="8">
        <f t="shared" si="9"/>
        <v>1</v>
      </c>
    </row>
    <row r="7" spans="1:34" ht="35.1" customHeight="1" x14ac:dyDescent="0.25">
      <c r="A7" s="8" t="s">
        <v>132</v>
      </c>
      <c r="B7" s="8" t="s">
        <v>133</v>
      </c>
      <c r="C7" s="8" t="s">
        <v>126</v>
      </c>
      <c r="D7" s="8" t="s">
        <v>127</v>
      </c>
      <c r="E7" s="8" t="s">
        <v>128</v>
      </c>
      <c r="F7" s="16">
        <v>72395</v>
      </c>
      <c r="G7" s="16">
        <v>72394.570000000007</v>
      </c>
      <c r="H7" s="13">
        <f t="shared" si="0"/>
        <v>72394.570000000007</v>
      </c>
      <c r="I7" s="21">
        <v>1</v>
      </c>
      <c r="J7" s="21">
        <v>1</v>
      </c>
      <c r="K7" s="21">
        <v>1</v>
      </c>
      <c r="L7" s="8" t="s">
        <v>344</v>
      </c>
      <c r="M7" s="14">
        <f>Y7*Resumen!$C$6+AC7*Resumen!$C$7+AG7*Resumen!$C$9</f>
        <v>1</v>
      </c>
      <c r="N7" s="14">
        <f>Z7*Resumen!$C$6+AD7*Resumen!$C$7+AH7*Resumen!$C$9</f>
        <v>1</v>
      </c>
      <c r="O7" s="13">
        <f t="shared" si="1"/>
        <v>72394.570000000007</v>
      </c>
      <c r="P7" s="13">
        <f t="shared" si="2"/>
        <v>72394.570000000007</v>
      </c>
      <c r="Q7" s="21" t="s">
        <v>345</v>
      </c>
      <c r="R7" s="21" t="s">
        <v>341</v>
      </c>
      <c r="S7" s="21" t="s">
        <v>343</v>
      </c>
      <c r="T7" s="28"/>
      <c r="U7" s="13">
        <f>H7*((Q7="Oficial")*Resumen!$C$6+(R7="Oficial")*Resumen!$C$7+(S7="Oficial")*Resumen!$C$9)</f>
        <v>32577.556500000002</v>
      </c>
      <c r="V7" s="8" t="str">
        <f t="shared" si="3"/>
        <v>Con entregas verificadas</v>
      </c>
      <c r="W7" s="8" t="str">
        <f>IF(I7="",SUMPRODUCT(($I$5:$I$69="")*($H$5:$H$69&lt;H7))+SUMPRODUCT((I$5:I7="")*($H$5:H7=H7)),"")</f>
        <v/>
      </c>
      <c r="X7" s="8" t="str">
        <f>IF(I7="",SUMPRODUCT(($I$5:$I$69="")*($H$5:$H$69&gt;H7))+SUMPRODUCT((I$5:I7="")*($H$5:H7=H7)),"")</f>
        <v/>
      </c>
      <c r="Y7" s="8">
        <f t="shared" si="4"/>
        <v>1</v>
      </c>
      <c r="Z7" s="8">
        <f t="shared" si="5"/>
        <v>1</v>
      </c>
      <c r="AA7" s="8" t="str">
        <f>IF(J7="",SUMPRODUCT(($J$5:$J$69="")*($H$5:$H$69&lt;H7))+SUMPRODUCT((J$5:J7="")*($H$5:H7=H7)),"")</f>
        <v/>
      </c>
      <c r="AB7" s="8" t="str">
        <f>IF(J7="",SUMPRODUCT(($J$5:$J$69="")*($H$5:$H$69&gt;H7))+SUMPRODUCT((J$5:J7="")*($H$5:H7=H7)),"")</f>
        <v/>
      </c>
      <c r="AC7" s="8">
        <f t="shared" si="6"/>
        <v>1</v>
      </c>
      <c r="AD7" s="8">
        <f t="shared" si="7"/>
        <v>1</v>
      </c>
      <c r="AE7" s="8" t="str">
        <f>IF(K7="",SUMPRODUCT(($K$5:$K$69="")*($H$5:$H$69&lt;H7))+SUMPRODUCT((K$5:K7="")*($H$5:H7=H7)),"")</f>
        <v/>
      </c>
      <c r="AF7" s="8" t="str">
        <f>IF(K7="",SUMPRODUCT(($K$5:$K$69="")*($H$5:$H$69&gt;H7))+SUMPRODUCT((K$5:K7="")*($H$5:H7=H7)),"")</f>
        <v/>
      </c>
      <c r="AG7" s="8">
        <f t="shared" si="8"/>
        <v>1</v>
      </c>
      <c r="AH7" s="8">
        <f t="shared" si="9"/>
        <v>1</v>
      </c>
    </row>
    <row r="8" spans="1:34" ht="15" customHeight="1" x14ac:dyDescent="0.25">
      <c r="A8" s="8" t="s">
        <v>134</v>
      </c>
      <c r="B8" s="8" t="s">
        <v>135</v>
      </c>
      <c r="C8" s="8" t="s">
        <v>126</v>
      </c>
      <c r="D8" s="8" t="s">
        <v>127</v>
      </c>
      <c r="E8" s="8" t="s">
        <v>128</v>
      </c>
      <c r="F8" s="16">
        <v>35717</v>
      </c>
      <c r="H8" s="13">
        <f t="shared" si="0"/>
        <v>35717</v>
      </c>
      <c r="I8" s="26"/>
      <c r="J8" s="26"/>
      <c r="K8" s="26"/>
      <c r="L8" s="8" t="s">
        <v>304</v>
      </c>
      <c r="M8" s="14">
        <f>Y8*Resumen!$C$6+AC8*Resumen!$C$7+AG8*Resumen!$C$9</f>
        <v>1</v>
      </c>
      <c r="N8" s="14">
        <f>Z8*Resumen!$C$6+AD8*Resumen!$C$7+AH8*Resumen!$C$9</f>
        <v>1</v>
      </c>
      <c r="O8" s="13">
        <f t="shared" si="1"/>
        <v>35717</v>
      </c>
      <c r="P8" s="13">
        <f t="shared" si="2"/>
        <v>35717</v>
      </c>
      <c r="Q8" s="27"/>
      <c r="R8" s="27"/>
      <c r="S8" s="27"/>
      <c r="T8" s="28"/>
      <c r="U8" s="13">
        <f>H8*((Q8="Oficial")*Resumen!$C$6+(R8="Oficial")*Resumen!$C$7+(S8="Oficial")*Resumen!$C$9)</f>
        <v>0</v>
      </c>
      <c r="V8" s="8" t="str">
        <f t="shared" si="3"/>
        <v>Sin evidencia municipal</v>
      </c>
      <c r="W8" s="8">
        <f>IF(I8="",SUMPRODUCT(($I$5:$I$69="")*($H$5:$H$69&lt;H8))+SUMPRODUCT((I$5:I8="")*($H$5:H8=H8)),"")</f>
        <v>17</v>
      </c>
      <c r="X8" s="8">
        <f>IF(I8="",SUMPRODUCT(($I$5:$I$69="")*($H$5:$H$69&gt;H8))+SUMPRODUCT((I$5:I8="")*($H$5:H8=H8)),"")</f>
        <v>12</v>
      </c>
      <c r="Y8" s="8">
        <f t="shared" si="4"/>
        <v>1</v>
      </c>
      <c r="Z8" s="8">
        <f t="shared" si="5"/>
        <v>1</v>
      </c>
      <c r="AA8" s="8">
        <f>IF(J8="",SUMPRODUCT(($J$5:$J$69="")*($H$5:$H$69&lt;H8))+SUMPRODUCT((J$5:J8="")*($H$5:H8=H8)),"")</f>
        <v>17</v>
      </c>
      <c r="AB8" s="8">
        <f>IF(J8="",SUMPRODUCT(($J$5:$J$69="")*($H$5:$H$69&gt;H8))+SUMPRODUCT((J$5:J8="")*($H$5:H8=H8)),"")</f>
        <v>13</v>
      </c>
      <c r="AC8" s="8">
        <f t="shared" si="6"/>
        <v>1</v>
      </c>
      <c r="AD8" s="8">
        <f t="shared" si="7"/>
        <v>1</v>
      </c>
      <c r="AE8" s="8">
        <f>IF(K8="",SUMPRODUCT(($K$5:$K$69="")*($H$5:$H$69&lt;H8))+SUMPRODUCT((K$5:K8="")*($H$5:H8=H8)),"")</f>
        <v>16</v>
      </c>
      <c r="AF8" s="8">
        <f>IF(K8="",SUMPRODUCT(($K$5:$K$69="")*($H$5:$H$69&gt;H8))+SUMPRODUCT((K$5:K8="")*($H$5:H8=H8)),"")</f>
        <v>15</v>
      </c>
      <c r="AG8" s="8">
        <f t="shared" si="8"/>
        <v>1</v>
      </c>
      <c r="AH8" s="8">
        <f t="shared" si="9"/>
        <v>1</v>
      </c>
    </row>
    <row r="9" spans="1:34" ht="23.85" customHeight="1" x14ac:dyDescent="0.25">
      <c r="A9" s="8" t="s">
        <v>136</v>
      </c>
      <c r="B9" s="8" t="s">
        <v>137</v>
      </c>
      <c r="C9" s="8" t="s">
        <v>138</v>
      </c>
      <c r="D9" s="8" t="s">
        <v>139</v>
      </c>
      <c r="E9" s="8" t="s">
        <v>128</v>
      </c>
      <c r="F9" s="16">
        <v>33207</v>
      </c>
      <c r="H9" s="13">
        <f t="shared" si="0"/>
        <v>33207</v>
      </c>
      <c r="I9" s="21">
        <v>1</v>
      </c>
      <c r="J9" s="21">
        <v>1</v>
      </c>
      <c r="K9" s="26"/>
      <c r="L9" s="8" t="s">
        <v>346</v>
      </c>
      <c r="M9" s="14">
        <f>Y9*Resumen!$C$6+AC9*Resumen!$C$7+AG9*Resumen!$C$9</f>
        <v>1</v>
      </c>
      <c r="N9" s="14">
        <f>Z9*Resumen!$C$6+AD9*Resumen!$C$7+AH9*Resumen!$C$9</f>
        <v>1</v>
      </c>
      <c r="O9" s="13">
        <f t="shared" si="1"/>
        <v>33207</v>
      </c>
      <c r="P9" s="13">
        <f t="shared" si="2"/>
        <v>33207</v>
      </c>
      <c r="Q9" s="21" t="s">
        <v>345</v>
      </c>
      <c r="R9" s="21" t="s">
        <v>341</v>
      </c>
      <c r="S9" s="27"/>
      <c r="T9" s="28"/>
      <c r="U9" s="13">
        <f>H9*((Q9="Oficial")*Resumen!$C$6+(R9="Oficial")*Resumen!$C$7+(S9="Oficial")*Resumen!$C$9)</f>
        <v>14943.15</v>
      </c>
      <c r="V9" s="8" t="str">
        <f t="shared" si="3"/>
        <v>Con entregas verificadas</v>
      </c>
      <c r="W9" s="8" t="str">
        <f>IF(I9="",SUMPRODUCT(($I$5:$I$69="")*($H$5:$H$69&lt;H9))+SUMPRODUCT((I$5:I9="")*($H$5:H9=H9)),"")</f>
        <v/>
      </c>
      <c r="X9" s="8" t="str">
        <f>IF(I9="",SUMPRODUCT(($I$5:$I$69="")*($H$5:$H$69&gt;H9))+SUMPRODUCT((I$5:I9="")*($H$5:H9=H9)),"")</f>
        <v/>
      </c>
      <c r="Y9" s="8">
        <f t="shared" si="4"/>
        <v>1</v>
      </c>
      <c r="Z9" s="8">
        <f t="shared" si="5"/>
        <v>1</v>
      </c>
      <c r="AA9" s="8" t="str">
        <f>IF(J9="",SUMPRODUCT(($J$5:$J$69="")*($H$5:$H$69&lt;H9))+SUMPRODUCT((J$5:J9="")*($H$5:H9=H9)),"")</f>
        <v/>
      </c>
      <c r="AB9" s="8" t="str">
        <f>IF(J9="",SUMPRODUCT(($J$5:$J$69="")*($H$5:$H$69&gt;H9))+SUMPRODUCT((J$5:J9="")*($H$5:H9=H9)),"")</f>
        <v/>
      </c>
      <c r="AC9" s="8">
        <f t="shared" si="6"/>
        <v>1</v>
      </c>
      <c r="AD9" s="8">
        <f t="shared" si="7"/>
        <v>1</v>
      </c>
      <c r="AE9" s="8">
        <f>IF(K9="",SUMPRODUCT(($K$5:$K$69="")*($H$5:$H$69&lt;H9))+SUMPRODUCT((K$5:K9="")*($H$5:H9=H9)),"")</f>
        <v>13</v>
      </c>
      <c r="AF9" s="8">
        <f>IF(K9="",SUMPRODUCT(($K$5:$K$69="")*($H$5:$H$69&gt;H9))+SUMPRODUCT((K$5:K9="")*($H$5:H9=H9)),"")</f>
        <v>18</v>
      </c>
      <c r="AG9" s="8">
        <f t="shared" si="8"/>
        <v>1</v>
      </c>
      <c r="AH9" s="8">
        <f t="shared" si="9"/>
        <v>1</v>
      </c>
    </row>
    <row r="10" spans="1:34" ht="15" customHeight="1" x14ac:dyDescent="0.25">
      <c r="A10" s="8" t="s">
        <v>140</v>
      </c>
      <c r="B10" s="8" t="s">
        <v>141</v>
      </c>
      <c r="C10" s="8" t="s">
        <v>126</v>
      </c>
      <c r="D10" s="8" t="s">
        <v>142</v>
      </c>
      <c r="E10" s="8" t="s">
        <v>128</v>
      </c>
      <c r="F10" s="16">
        <v>24702</v>
      </c>
      <c r="H10" s="13">
        <f t="shared" si="0"/>
        <v>24702</v>
      </c>
      <c r="I10" s="26"/>
      <c r="J10" s="26"/>
      <c r="K10" s="26"/>
      <c r="L10" s="8" t="s">
        <v>304</v>
      </c>
      <c r="M10" s="14">
        <f>Y10*Resumen!$C$6+AC10*Resumen!$C$7+AG10*Resumen!$C$9</f>
        <v>1</v>
      </c>
      <c r="N10" s="14">
        <f>Z10*Resumen!$C$6+AD10*Resumen!$C$7+AH10*Resumen!$C$9</f>
        <v>1</v>
      </c>
      <c r="O10" s="13">
        <f t="shared" si="1"/>
        <v>24702</v>
      </c>
      <c r="P10" s="13">
        <f t="shared" si="2"/>
        <v>24702</v>
      </c>
      <c r="Q10" s="27"/>
      <c r="R10" s="27"/>
      <c r="S10" s="27"/>
      <c r="T10" s="28"/>
      <c r="U10" s="13">
        <f>H10*((Q10="Oficial")*Resumen!$C$6+(R10="Oficial")*Resumen!$C$7+(S10="Oficial")*Resumen!$C$9)</f>
        <v>0</v>
      </c>
      <c r="V10" s="8" t="str">
        <f t="shared" si="3"/>
        <v>Sin evidencia municipal</v>
      </c>
      <c r="W10" s="8">
        <f>IF(I10="",SUMPRODUCT(($I$5:$I$69="")*($H$5:$H$69&lt;H10))+SUMPRODUCT((I$5:I10="")*($H$5:H10=H10)),"")</f>
        <v>8</v>
      </c>
      <c r="X10" s="8">
        <f>IF(I10="",SUMPRODUCT(($I$5:$I$69="")*($H$5:$H$69&gt;H10))+SUMPRODUCT((I$5:I10="")*($H$5:H10=H10)),"")</f>
        <v>21</v>
      </c>
      <c r="Y10" s="8">
        <f t="shared" si="4"/>
        <v>1</v>
      </c>
      <c r="Z10" s="8">
        <f t="shared" si="5"/>
        <v>1</v>
      </c>
      <c r="AA10" s="8">
        <f>IF(J10="",SUMPRODUCT(($J$5:$J$69="")*($H$5:$H$69&lt;H10))+SUMPRODUCT((J$5:J10="")*($H$5:H10=H10)),"")</f>
        <v>8</v>
      </c>
      <c r="AB10" s="8">
        <f>IF(J10="",SUMPRODUCT(($J$5:$J$69="")*($H$5:$H$69&gt;H10))+SUMPRODUCT((J$5:J10="")*($H$5:H10=H10)),"")</f>
        <v>22</v>
      </c>
      <c r="AC10" s="8">
        <f t="shared" si="6"/>
        <v>1</v>
      </c>
      <c r="AD10" s="8">
        <f t="shared" si="7"/>
        <v>1</v>
      </c>
      <c r="AE10" s="8">
        <f>IF(K10="",SUMPRODUCT(($K$5:$K$69="")*($H$5:$H$69&lt;H10))+SUMPRODUCT((K$5:K10="")*($H$5:H10=H10)),"")</f>
        <v>7</v>
      </c>
      <c r="AF10" s="8">
        <f>IF(K10="",SUMPRODUCT(($K$5:$K$69="")*($H$5:$H$69&gt;H10))+SUMPRODUCT((K$5:K10="")*($H$5:H10=H10)),"")</f>
        <v>24</v>
      </c>
      <c r="AG10" s="8">
        <f t="shared" si="8"/>
        <v>1</v>
      </c>
      <c r="AH10" s="8">
        <f t="shared" si="9"/>
        <v>1</v>
      </c>
    </row>
    <row r="11" spans="1:34" ht="15" customHeight="1" x14ac:dyDescent="0.25">
      <c r="A11" s="8" t="s">
        <v>143</v>
      </c>
      <c r="B11" s="8" t="s">
        <v>144</v>
      </c>
      <c r="C11" s="8" t="s">
        <v>126</v>
      </c>
      <c r="D11" s="8" t="s">
        <v>142</v>
      </c>
      <c r="E11" s="8" t="s">
        <v>128</v>
      </c>
      <c r="F11" s="16">
        <v>31797</v>
      </c>
      <c r="H11" s="13">
        <f t="shared" si="0"/>
        <v>31797</v>
      </c>
      <c r="I11" s="26"/>
      <c r="J11" s="26"/>
      <c r="K11" s="26"/>
      <c r="L11" s="8" t="s">
        <v>304</v>
      </c>
      <c r="M11" s="14">
        <f>Y11*Resumen!$C$6+AC11*Resumen!$C$7+AG11*Resumen!$C$9</f>
        <v>1</v>
      </c>
      <c r="N11" s="14">
        <f>Z11*Resumen!$C$6+AD11*Resumen!$C$7+AH11*Resumen!$C$9</f>
        <v>1</v>
      </c>
      <c r="O11" s="13">
        <f t="shared" si="1"/>
        <v>31797</v>
      </c>
      <c r="P11" s="13">
        <f t="shared" si="2"/>
        <v>31797</v>
      </c>
      <c r="Q11" s="27"/>
      <c r="R11" s="27"/>
      <c r="S11" s="27"/>
      <c r="T11" s="8" t="s">
        <v>347</v>
      </c>
      <c r="U11" s="13">
        <f>H11*((Q11="Oficial")*Resumen!$C$6+(R11="Oficial")*Resumen!$C$7+(S11="Oficial")*Resumen!$C$9)</f>
        <v>0</v>
      </c>
      <c r="V11" s="8" t="str">
        <f t="shared" si="3"/>
        <v>Sin evidencia municipal</v>
      </c>
      <c r="W11" s="8">
        <f>IF(I11="",SUMPRODUCT(($I$5:$I$69="")*($H$5:$H$69&lt;H11))+SUMPRODUCT((I$5:I11="")*($H$5:H11=H11)),"")</f>
        <v>14</v>
      </c>
      <c r="X11" s="8">
        <f>IF(I11="",SUMPRODUCT(($I$5:$I$69="")*($H$5:$H$69&gt;H11))+SUMPRODUCT((I$5:I11="")*($H$5:H11=H11)),"")</f>
        <v>15</v>
      </c>
      <c r="Y11" s="8">
        <f t="shared" si="4"/>
        <v>1</v>
      </c>
      <c r="Z11" s="8">
        <f t="shared" si="5"/>
        <v>1</v>
      </c>
      <c r="AA11" s="8">
        <f>IF(J11="",SUMPRODUCT(($J$5:$J$69="")*($H$5:$H$69&lt;H11))+SUMPRODUCT((J$5:J11="")*($H$5:H11=H11)),"")</f>
        <v>14</v>
      </c>
      <c r="AB11" s="8">
        <f>IF(J11="",SUMPRODUCT(($J$5:$J$69="")*($H$5:$H$69&gt;H11))+SUMPRODUCT((J$5:J11="")*($H$5:H11=H11)),"")</f>
        <v>16</v>
      </c>
      <c r="AC11" s="8">
        <f t="shared" si="6"/>
        <v>1</v>
      </c>
      <c r="AD11" s="8">
        <f t="shared" si="7"/>
        <v>1</v>
      </c>
      <c r="AE11" s="8">
        <f>IF(K11="",SUMPRODUCT(($K$5:$K$69="")*($H$5:$H$69&lt;H11))+SUMPRODUCT((K$5:K11="")*($H$5:H11=H11)),"")</f>
        <v>12</v>
      </c>
      <c r="AF11" s="8">
        <f>IF(K11="",SUMPRODUCT(($K$5:$K$69="")*($H$5:$H$69&gt;H11))+SUMPRODUCT((K$5:K11="")*($H$5:H11=H11)),"")</f>
        <v>19</v>
      </c>
      <c r="AG11" s="8">
        <f t="shared" si="8"/>
        <v>1</v>
      </c>
      <c r="AH11" s="8">
        <f t="shared" si="9"/>
        <v>1</v>
      </c>
    </row>
    <row r="12" spans="1:34" ht="15" customHeight="1" x14ac:dyDescent="0.25">
      <c r="A12" s="8" t="s">
        <v>145</v>
      </c>
      <c r="B12" s="8" t="s">
        <v>146</v>
      </c>
      <c r="C12" s="8" t="s">
        <v>126</v>
      </c>
      <c r="D12" s="8" t="s">
        <v>142</v>
      </c>
      <c r="E12" s="8" t="s">
        <v>128</v>
      </c>
      <c r="F12" s="16">
        <v>135439</v>
      </c>
      <c r="H12" s="13">
        <f t="shared" si="0"/>
        <v>135439</v>
      </c>
      <c r="I12" s="26"/>
      <c r="J12" s="26"/>
      <c r="K12" s="26"/>
      <c r="L12" s="8" t="s">
        <v>304</v>
      </c>
      <c r="M12" s="14">
        <f>Y12*Resumen!$C$6+AC12*Resumen!$C$7+AG12*Resumen!$C$9</f>
        <v>1</v>
      </c>
      <c r="N12" s="14">
        <f>Z12*Resumen!$C$6+AD12*Resumen!$C$7+AH12*Resumen!$C$9</f>
        <v>1</v>
      </c>
      <c r="O12" s="13">
        <f t="shared" si="1"/>
        <v>135439</v>
      </c>
      <c r="P12" s="13">
        <f t="shared" si="2"/>
        <v>135439</v>
      </c>
      <c r="Q12" s="27"/>
      <c r="R12" s="27"/>
      <c r="S12" s="27"/>
      <c r="T12" s="28"/>
      <c r="U12" s="13">
        <f>H12*((Q12="Oficial")*Resumen!$C$6+(R12="Oficial")*Resumen!$C$7+(S12="Oficial")*Resumen!$C$9)</f>
        <v>0</v>
      </c>
      <c r="V12" s="8" t="str">
        <f t="shared" si="3"/>
        <v>Sin evidencia municipal</v>
      </c>
      <c r="W12" s="8">
        <f>IF(I12="",SUMPRODUCT(($I$5:$I$69="")*($H$5:$H$69&lt;H12))+SUMPRODUCT((I$5:I12="")*($H$5:H12=H12)),"")</f>
        <v>26</v>
      </c>
      <c r="X12" s="8">
        <f>IF(I12="",SUMPRODUCT(($I$5:$I$69="")*($H$5:$H$69&gt;H12))+SUMPRODUCT((I$5:I12="")*($H$5:H12=H12)),"")</f>
        <v>3</v>
      </c>
      <c r="Y12" s="8">
        <f t="shared" si="4"/>
        <v>1</v>
      </c>
      <c r="Z12" s="8">
        <f t="shared" si="5"/>
        <v>1</v>
      </c>
      <c r="AA12" s="8">
        <f>IF(J12="",SUMPRODUCT(($J$5:$J$69="")*($H$5:$H$69&lt;H12))+SUMPRODUCT((J$5:J12="")*($H$5:H12=H12)),"")</f>
        <v>26</v>
      </c>
      <c r="AB12" s="8">
        <f>IF(J12="",SUMPRODUCT(($J$5:$J$69="")*($H$5:$H$69&gt;H12))+SUMPRODUCT((J$5:J12="")*($H$5:H12=H12)),"")</f>
        <v>4</v>
      </c>
      <c r="AC12" s="8">
        <f t="shared" si="6"/>
        <v>1</v>
      </c>
      <c r="AD12" s="8">
        <f t="shared" si="7"/>
        <v>1</v>
      </c>
      <c r="AE12" s="8">
        <f>IF(K12="",SUMPRODUCT(($K$5:$K$69="")*($H$5:$H$69&lt;H12))+SUMPRODUCT((K$5:K12="")*($H$5:H12=H12)),"")</f>
        <v>26</v>
      </c>
      <c r="AF12" s="8">
        <f>IF(K12="",SUMPRODUCT(($K$5:$K$69="")*($H$5:$H$69&gt;H12))+SUMPRODUCT((K$5:K12="")*($H$5:H12=H12)),"")</f>
        <v>5</v>
      </c>
      <c r="AG12" s="8">
        <f t="shared" si="8"/>
        <v>1</v>
      </c>
      <c r="AH12" s="8">
        <f t="shared" si="9"/>
        <v>1</v>
      </c>
    </row>
    <row r="13" spans="1:34" ht="15" customHeight="1" x14ac:dyDescent="0.25">
      <c r="A13" s="8" t="s">
        <v>147</v>
      </c>
      <c r="B13" s="8" t="s">
        <v>148</v>
      </c>
      <c r="C13" s="8" t="s">
        <v>149</v>
      </c>
      <c r="D13" s="8" t="s">
        <v>150</v>
      </c>
      <c r="E13" s="8" t="s">
        <v>128</v>
      </c>
      <c r="F13" s="16">
        <v>26573</v>
      </c>
      <c r="H13" s="13">
        <f t="shared" si="0"/>
        <v>26573</v>
      </c>
      <c r="I13" s="26"/>
      <c r="J13" s="26"/>
      <c r="K13" s="26"/>
      <c r="L13" s="8" t="s">
        <v>304</v>
      </c>
      <c r="M13" s="14">
        <f>Y13*Resumen!$C$6+AC13*Resumen!$C$7+AG13*Resumen!$C$9</f>
        <v>1</v>
      </c>
      <c r="N13" s="14">
        <f>Z13*Resumen!$C$6+AD13*Resumen!$C$7+AH13*Resumen!$C$9</f>
        <v>1</v>
      </c>
      <c r="O13" s="13">
        <f t="shared" si="1"/>
        <v>26573</v>
      </c>
      <c r="P13" s="13">
        <f t="shared" si="2"/>
        <v>26573</v>
      </c>
      <c r="Q13" s="27"/>
      <c r="R13" s="27"/>
      <c r="S13" s="27"/>
      <c r="T13" s="28"/>
      <c r="U13" s="13">
        <f>H13*((Q13="Oficial")*Resumen!$C$6+(R13="Oficial")*Resumen!$C$7+(S13="Oficial")*Resumen!$C$9)</f>
        <v>0</v>
      </c>
      <c r="V13" s="8" t="str">
        <f t="shared" si="3"/>
        <v>Sin evidencia municipal</v>
      </c>
      <c r="W13" s="8">
        <f>IF(I13="",SUMPRODUCT(($I$5:$I$69="")*($H$5:$H$69&lt;H13))+SUMPRODUCT((I$5:I13="")*($H$5:H13=H13)),"")</f>
        <v>9</v>
      </c>
      <c r="X13" s="8">
        <f>IF(I13="",SUMPRODUCT(($I$5:$I$69="")*($H$5:$H$69&gt;H13))+SUMPRODUCT((I$5:I13="")*($H$5:H13=H13)),"")</f>
        <v>20</v>
      </c>
      <c r="Y13" s="8">
        <f t="shared" si="4"/>
        <v>1</v>
      </c>
      <c r="Z13" s="8">
        <f t="shared" si="5"/>
        <v>1</v>
      </c>
      <c r="AA13" s="8">
        <f>IF(J13="",SUMPRODUCT(($J$5:$J$69="")*($H$5:$H$69&lt;H13))+SUMPRODUCT((J$5:J13="")*($H$5:H13=H13)),"")</f>
        <v>9</v>
      </c>
      <c r="AB13" s="8">
        <f>IF(J13="",SUMPRODUCT(($J$5:$J$69="")*($H$5:$H$69&gt;H13))+SUMPRODUCT((J$5:J13="")*($H$5:H13=H13)),"")</f>
        <v>21</v>
      </c>
      <c r="AC13" s="8">
        <f t="shared" si="6"/>
        <v>1</v>
      </c>
      <c r="AD13" s="8">
        <f t="shared" si="7"/>
        <v>1</v>
      </c>
      <c r="AE13" s="8">
        <f>IF(K13="",SUMPRODUCT(($K$5:$K$69="")*($H$5:$H$69&lt;H13))+SUMPRODUCT((K$5:K13="")*($H$5:H13=H13)),"")</f>
        <v>8</v>
      </c>
      <c r="AF13" s="8">
        <f>IF(K13="",SUMPRODUCT(($K$5:$K$69="")*($H$5:$H$69&gt;H13))+SUMPRODUCT((K$5:K13="")*($H$5:H13=H13)),"")</f>
        <v>23</v>
      </c>
      <c r="AG13" s="8">
        <f t="shared" si="8"/>
        <v>1</v>
      </c>
      <c r="AH13" s="8">
        <f t="shared" si="9"/>
        <v>1</v>
      </c>
    </row>
    <row r="14" spans="1:34" ht="15" customHeight="1" x14ac:dyDescent="0.25">
      <c r="A14" s="8" t="s">
        <v>151</v>
      </c>
      <c r="B14" s="8" t="s">
        <v>152</v>
      </c>
      <c r="C14" s="8" t="s">
        <v>149</v>
      </c>
      <c r="D14" s="8" t="s">
        <v>150</v>
      </c>
      <c r="E14" s="8" t="s">
        <v>128</v>
      </c>
      <c r="F14" s="16">
        <v>17256</v>
      </c>
      <c r="H14" s="13">
        <f t="shared" si="0"/>
        <v>17256</v>
      </c>
      <c r="I14" s="26"/>
      <c r="J14" s="26"/>
      <c r="K14" s="26"/>
      <c r="L14" s="8" t="s">
        <v>304</v>
      </c>
      <c r="M14" s="14">
        <f>Y14*Resumen!$C$6+AC14*Resumen!$C$7+AG14*Resumen!$C$9</f>
        <v>1</v>
      </c>
      <c r="N14" s="14">
        <f>Z14*Resumen!$C$6+AD14*Resumen!$C$7+AH14*Resumen!$C$9</f>
        <v>0.9</v>
      </c>
      <c r="O14" s="13">
        <f t="shared" si="1"/>
        <v>17256</v>
      </c>
      <c r="P14" s="13">
        <f t="shared" si="2"/>
        <v>15530.4</v>
      </c>
      <c r="Q14" s="27"/>
      <c r="R14" s="27"/>
      <c r="S14" s="27"/>
      <c r="T14" s="28"/>
      <c r="U14" s="13">
        <f>H14*((Q14="Oficial")*Resumen!$C$6+(R14="Oficial")*Resumen!$C$7+(S14="Oficial")*Resumen!$C$9)</f>
        <v>0</v>
      </c>
      <c r="V14" s="8" t="str">
        <f t="shared" si="3"/>
        <v>Sin evidencia municipal</v>
      </c>
      <c r="W14" s="8">
        <f>IF(I14="",SUMPRODUCT(($I$5:$I$69="")*($H$5:$H$69&lt;H14))+SUMPRODUCT((I$5:I14="")*($H$5:H14=H14)),"")</f>
        <v>3</v>
      </c>
      <c r="X14" s="8">
        <f>IF(I14="",SUMPRODUCT(($I$5:$I$69="")*($H$5:$H$69&gt;H14))+SUMPRODUCT((I$5:I14="")*($H$5:H14=H14)),"")</f>
        <v>26</v>
      </c>
      <c r="Y14" s="8">
        <f t="shared" si="4"/>
        <v>1</v>
      </c>
      <c r="Z14" s="8">
        <f t="shared" si="5"/>
        <v>1</v>
      </c>
      <c r="AA14" s="8">
        <f>IF(J14="",SUMPRODUCT(($J$5:$J$69="")*($H$5:$H$69&lt;H14))+SUMPRODUCT((J$5:J14="")*($H$5:H14=H14)),"")</f>
        <v>3</v>
      </c>
      <c r="AB14" s="8">
        <f>IF(J14="",SUMPRODUCT(($J$5:$J$69="")*($H$5:$H$69&gt;H14))+SUMPRODUCT((J$5:J14="")*($H$5:H14=H14)),"")</f>
        <v>27</v>
      </c>
      <c r="AC14" s="8">
        <f t="shared" si="6"/>
        <v>1</v>
      </c>
      <c r="AD14" s="8">
        <f t="shared" si="7"/>
        <v>1</v>
      </c>
      <c r="AE14" s="8">
        <f>IF(K14="",SUMPRODUCT(($K$5:$K$69="")*($H$5:$H$69&lt;H14))+SUMPRODUCT((K$5:K14="")*($H$5:H14=H14)),"")</f>
        <v>3</v>
      </c>
      <c r="AF14" s="8">
        <f>IF(K14="",SUMPRODUCT(($K$5:$K$69="")*($H$5:$H$69&gt;H14))+SUMPRODUCT((K$5:K14="")*($H$5:H14=H14)),"")</f>
        <v>28</v>
      </c>
      <c r="AG14" s="8">
        <f t="shared" si="8"/>
        <v>1</v>
      </c>
      <c r="AH14" s="8">
        <f t="shared" si="9"/>
        <v>0</v>
      </c>
    </row>
    <row r="15" spans="1:34" ht="35.1" customHeight="1" x14ac:dyDescent="0.25">
      <c r="A15" s="8" t="s">
        <v>153</v>
      </c>
      <c r="B15" s="8" t="s">
        <v>154</v>
      </c>
      <c r="C15" s="8" t="s">
        <v>149</v>
      </c>
      <c r="D15" s="8" t="s">
        <v>150</v>
      </c>
      <c r="E15" s="8" t="s">
        <v>128</v>
      </c>
      <c r="F15" s="16">
        <v>53607</v>
      </c>
      <c r="G15" s="16">
        <v>53606.96</v>
      </c>
      <c r="H15" s="13">
        <f t="shared" si="0"/>
        <v>53606.96</v>
      </c>
      <c r="I15" s="21">
        <v>1</v>
      </c>
      <c r="J15" s="21">
        <v>1</v>
      </c>
      <c r="K15" s="21">
        <v>1</v>
      </c>
      <c r="L15" s="8" t="s">
        <v>348</v>
      </c>
      <c r="M15" s="14">
        <f>Y15*Resumen!$C$6+AC15*Resumen!$C$7+AG15*Resumen!$C$9</f>
        <v>1</v>
      </c>
      <c r="N15" s="14">
        <f>Z15*Resumen!$C$6+AD15*Resumen!$C$7+AH15*Resumen!$C$9</f>
        <v>1</v>
      </c>
      <c r="O15" s="13">
        <f t="shared" si="1"/>
        <v>53606.96</v>
      </c>
      <c r="P15" s="13">
        <f t="shared" si="2"/>
        <v>53606.96</v>
      </c>
      <c r="Q15" s="21" t="s">
        <v>341</v>
      </c>
      <c r="R15" s="21" t="s">
        <v>341</v>
      </c>
      <c r="S15" s="21" t="s">
        <v>343</v>
      </c>
      <c r="T15" s="28"/>
      <c r="U15" s="13">
        <f>H15*((Q15="Oficial")*Resumen!$C$6+(R15="Oficial")*Resumen!$C$7+(S15="Oficial")*Resumen!$C$9)</f>
        <v>0</v>
      </c>
      <c r="V15" s="8" t="str">
        <f t="shared" si="3"/>
        <v>Con entregas verificadas</v>
      </c>
      <c r="W15" s="8" t="str">
        <f>IF(I15="",SUMPRODUCT(($I$5:$I$69="")*($H$5:$H$69&lt;H15))+SUMPRODUCT((I$5:I15="")*($H$5:H15=H15)),"")</f>
        <v/>
      </c>
      <c r="X15" s="8" t="str">
        <f>IF(I15="",SUMPRODUCT(($I$5:$I$69="")*($H$5:$H$69&gt;H15))+SUMPRODUCT((I$5:I15="")*($H$5:H15=H15)),"")</f>
        <v/>
      </c>
      <c r="Y15" s="8">
        <f t="shared" si="4"/>
        <v>1</v>
      </c>
      <c r="Z15" s="8">
        <f t="shared" si="5"/>
        <v>1</v>
      </c>
      <c r="AA15" s="8" t="str">
        <f>IF(J15="",SUMPRODUCT(($J$5:$J$69="")*($H$5:$H$69&lt;H15))+SUMPRODUCT((J$5:J15="")*($H$5:H15=H15)),"")</f>
        <v/>
      </c>
      <c r="AB15" s="8" t="str">
        <f>IF(J15="",SUMPRODUCT(($J$5:$J$69="")*($H$5:$H$69&gt;H15))+SUMPRODUCT((J$5:J15="")*($H$5:H15=H15)),"")</f>
        <v/>
      </c>
      <c r="AC15" s="8">
        <f t="shared" si="6"/>
        <v>1</v>
      </c>
      <c r="AD15" s="8">
        <f t="shared" si="7"/>
        <v>1</v>
      </c>
      <c r="AE15" s="8" t="str">
        <f>IF(K15="",SUMPRODUCT(($K$5:$K$69="")*($H$5:$H$69&lt;H15))+SUMPRODUCT((K$5:K15="")*($H$5:H15=H15)),"")</f>
        <v/>
      </c>
      <c r="AF15" s="8" t="str">
        <f>IF(K15="",SUMPRODUCT(($K$5:$K$69="")*($H$5:$H$69&gt;H15))+SUMPRODUCT((K$5:K15="")*($H$5:H15=H15)),"")</f>
        <v/>
      </c>
      <c r="AG15" s="8">
        <f t="shared" si="8"/>
        <v>1</v>
      </c>
      <c r="AH15" s="8">
        <f t="shared" si="9"/>
        <v>1</v>
      </c>
    </row>
    <row r="16" spans="1:34" ht="15" customHeight="1" x14ac:dyDescent="0.25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128</v>
      </c>
      <c r="F16" s="16">
        <v>94340</v>
      </c>
      <c r="H16" s="13">
        <f t="shared" si="0"/>
        <v>94340</v>
      </c>
      <c r="I16" s="26"/>
      <c r="J16" s="26"/>
      <c r="K16" s="26"/>
      <c r="L16" s="8" t="s">
        <v>304</v>
      </c>
      <c r="M16" s="14">
        <f>Y16*Resumen!$C$6+AC16*Resumen!$C$7+AG16*Resumen!$C$9</f>
        <v>1</v>
      </c>
      <c r="N16" s="14">
        <f>Z16*Resumen!$C$6+AD16*Resumen!$C$7+AH16*Resumen!$C$9</f>
        <v>1</v>
      </c>
      <c r="O16" s="13">
        <f t="shared" si="1"/>
        <v>94340</v>
      </c>
      <c r="P16" s="13">
        <f t="shared" si="2"/>
        <v>94340</v>
      </c>
      <c r="Q16" s="27"/>
      <c r="R16" s="27"/>
      <c r="S16" s="27"/>
      <c r="T16" s="28"/>
      <c r="U16" s="13">
        <f>H16*((Q16="Oficial")*Resumen!$C$6+(R16="Oficial")*Resumen!$C$7+(S16="Oficial")*Resumen!$C$9)</f>
        <v>0</v>
      </c>
      <c r="V16" s="8" t="str">
        <f t="shared" si="3"/>
        <v>Sin evidencia municipal</v>
      </c>
      <c r="W16" s="8">
        <f>IF(I16="",SUMPRODUCT(($I$5:$I$69="")*($H$5:$H$69&lt;H16))+SUMPRODUCT((I$5:I16="")*($H$5:H16=H16)),"")</f>
        <v>25</v>
      </c>
      <c r="X16" s="8">
        <f>IF(I16="",SUMPRODUCT(($I$5:$I$69="")*($H$5:$H$69&gt;H16))+SUMPRODUCT((I$5:I16="")*($H$5:H16=H16)),"")</f>
        <v>4</v>
      </c>
      <c r="Y16" s="8">
        <f t="shared" si="4"/>
        <v>1</v>
      </c>
      <c r="Z16" s="8">
        <f t="shared" si="5"/>
        <v>1</v>
      </c>
      <c r="AA16" s="8">
        <f>IF(J16="",SUMPRODUCT(($J$5:$J$69="")*($H$5:$H$69&lt;H16))+SUMPRODUCT((J$5:J16="")*($H$5:H16=H16)),"")</f>
        <v>25</v>
      </c>
      <c r="AB16" s="8">
        <f>IF(J16="",SUMPRODUCT(($J$5:$J$69="")*($H$5:$H$69&gt;H16))+SUMPRODUCT((J$5:J16="")*($H$5:H16=H16)),"")</f>
        <v>5</v>
      </c>
      <c r="AC16" s="8">
        <f t="shared" si="6"/>
        <v>1</v>
      </c>
      <c r="AD16" s="8">
        <f t="shared" si="7"/>
        <v>1</v>
      </c>
      <c r="AE16" s="8">
        <f>IF(K16="",SUMPRODUCT(($K$5:$K$69="")*($H$5:$H$69&lt;H16))+SUMPRODUCT((K$5:K16="")*($H$5:H16=H16)),"")</f>
        <v>25</v>
      </c>
      <c r="AF16" s="8">
        <f>IF(K16="",SUMPRODUCT(($K$5:$K$69="")*($H$5:$H$69&gt;H16))+SUMPRODUCT((K$5:K16="")*($H$5:H16=H16)),"")</f>
        <v>6</v>
      </c>
      <c r="AG16" s="8">
        <f t="shared" si="8"/>
        <v>1</v>
      </c>
      <c r="AH16" s="8">
        <f t="shared" si="9"/>
        <v>1</v>
      </c>
    </row>
    <row r="17" spans="1:34" ht="35.1" customHeight="1" x14ac:dyDescent="0.25">
      <c r="A17" s="8" t="s">
        <v>159</v>
      </c>
      <c r="B17" s="8" t="s">
        <v>160</v>
      </c>
      <c r="C17" s="8" t="s">
        <v>126</v>
      </c>
      <c r="D17" s="8" t="s">
        <v>161</v>
      </c>
      <c r="E17" s="8" t="s">
        <v>128</v>
      </c>
      <c r="F17" s="16">
        <v>50695</v>
      </c>
      <c r="G17" s="16">
        <v>50695.28</v>
      </c>
      <c r="H17" s="13">
        <f t="shared" si="0"/>
        <v>50695.28</v>
      </c>
      <c r="I17" s="21">
        <v>1</v>
      </c>
      <c r="J17" s="21">
        <v>1</v>
      </c>
      <c r="K17" s="21">
        <v>1</v>
      </c>
      <c r="L17" s="8" t="s">
        <v>340</v>
      </c>
      <c r="M17" s="14">
        <f>Y17*Resumen!$C$6+AC17*Resumen!$C$7+AG17*Resumen!$C$9</f>
        <v>1</v>
      </c>
      <c r="N17" s="14">
        <f>Z17*Resumen!$C$6+AD17*Resumen!$C$7+AH17*Resumen!$C$9</f>
        <v>1</v>
      </c>
      <c r="O17" s="13">
        <f t="shared" si="1"/>
        <v>50695.28</v>
      </c>
      <c r="P17" s="13">
        <f t="shared" si="2"/>
        <v>50695.28</v>
      </c>
      <c r="Q17" s="21" t="s">
        <v>341</v>
      </c>
      <c r="R17" s="21" t="s">
        <v>341</v>
      </c>
      <c r="S17" s="21" t="s">
        <v>341</v>
      </c>
      <c r="T17" s="28"/>
      <c r="U17" s="13">
        <f>H17*((Q17="Oficial")*Resumen!$C$6+(R17="Oficial")*Resumen!$C$7+(S17="Oficial")*Resumen!$C$9)</f>
        <v>0</v>
      </c>
      <c r="V17" s="8" t="str">
        <f t="shared" si="3"/>
        <v>Con entregas verificadas</v>
      </c>
      <c r="W17" s="8" t="str">
        <f>IF(I17="",SUMPRODUCT(($I$5:$I$69="")*($H$5:$H$69&lt;H17))+SUMPRODUCT((I$5:I17="")*($H$5:H17=H17)),"")</f>
        <v/>
      </c>
      <c r="X17" s="8" t="str">
        <f>IF(I17="",SUMPRODUCT(($I$5:$I$69="")*($H$5:$H$69&gt;H17))+SUMPRODUCT((I$5:I17="")*($H$5:H17=H17)),"")</f>
        <v/>
      </c>
      <c r="Y17" s="8">
        <f t="shared" si="4"/>
        <v>1</v>
      </c>
      <c r="Z17" s="8">
        <f t="shared" si="5"/>
        <v>1</v>
      </c>
      <c r="AA17" s="8" t="str">
        <f>IF(J17="",SUMPRODUCT(($J$5:$J$69="")*($H$5:$H$69&lt;H17))+SUMPRODUCT((J$5:J17="")*($H$5:H17=H17)),"")</f>
        <v/>
      </c>
      <c r="AB17" s="8" t="str">
        <f>IF(J17="",SUMPRODUCT(($J$5:$J$69="")*($H$5:$H$69&gt;H17))+SUMPRODUCT((J$5:J17="")*($H$5:H17=H17)),"")</f>
        <v/>
      </c>
      <c r="AC17" s="8">
        <f t="shared" si="6"/>
        <v>1</v>
      </c>
      <c r="AD17" s="8">
        <f t="shared" si="7"/>
        <v>1</v>
      </c>
      <c r="AE17" s="8" t="str">
        <f>IF(K17="",SUMPRODUCT(($K$5:$K$69="")*($H$5:$H$69&lt;H17))+SUMPRODUCT((K$5:K17="")*($H$5:H17=H17)),"")</f>
        <v/>
      </c>
      <c r="AF17" s="8" t="str">
        <f>IF(K17="",SUMPRODUCT(($K$5:$K$69="")*($H$5:$H$69&gt;H17))+SUMPRODUCT((K$5:K17="")*($H$5:H17=H17)),"")</f>
        <v/>
      </c>
      <c r="AG17" s="8">
        <f t="shared" si="8"/>
        <v>1</v>
      </c>
      <c r="AH17" s="8">
        <f t="shared" si="9"/>
        <v>1</v>
      </c>
    </row>
    <row r="18" spans="1:34" ht="15" customHeight="1" x14ac:dyDescent="0.25">
      <c r="A18" s="8" t="s">
        <v>162</v>
      </c>
      <c r="B18" s="8" t="s">
        <v>163</v>
      </c>
      <c r="C18" s="8" t="s">
        <v>149</v>
      </c>
      <c r="D18" s="8" t="s">
        <v>161</v>
      </c>
      <c r="E18" s="8" t="s">
        <v>128</v>
      </c>
      <c r="F18" s="16">
        <v>29715</v>
      </c>
      <c r="H18" s="13">
        <f t="shared" si="0"/>
        <v>29715</v>
      </c>
      <c r="I18" s="26"/>
      <c r="J18" s="26"/>
      <c r="K18" s="26"/>
      <c r="L18" s="8" t="s">
        <v>304</v>
      </c>
      <c r="M18" s="14">
        <f>Y18*Resumen!$C$6+AC18*Resumen!$C$7+AG18*Resumen!$C$9</f>
        <v>1</v>
      </c>
      <c r="N18" s="14">
        <f>Z18*Resumen!$C$6+AD18*Resumen!$C$7+AH18*Resumen!$C$9</f>
        <v>1</v>
      </c>
      <c r="O18" s="13">
        <f t="shared" si="1"/>
        <v>29715</v>
      </c>
      <c r="P18" s="13">
        <f t="shared" si="2"/>
        <v>29715</v>
      </c>
      <c r="Q18" s="27"/>
      <c r="R18" s="27"/>
      <c r="S18" s="27"/>
      <c r="T18" s="8" t="s">
        <v>347</v>
      </c>
      <c r="U18" s="13">
        <f>H18*((Q18="Oficial")*Resumen!$C$6+(R18="Oficial")*Resumen!$C$7+(S18="Oficial")*Resumen!$C$9)</f>
        <v>0</v>
      </c>
      <c r="V18" s="8" t="str">
        <f t="shared" si="3"/>
        <v>Sin evidencia municipal</v>
      </c>
      <c r="W18" s="8">
        <f>IF(I18="",SUMPRODUCT(($I$5:$I$69="")*($H$5:$H$69&lt;H18))+SUMPRODUCT((I$5:I18="")*($H$5:H18=H18)),"")</f>
        <v>12</v>
      </c>
      <c r="X18" s="8">
        <f>IF(I18="",SUMPRODUCT(($I$5:$I$69="")*($H$5:$H$69&gt;H18))+SUMPRODUCT((I$5:I18="")*($H$5:H18=H18)),"")</f>
        <v>17</v>
      </c>
      <c r="Y18" s="8">
        <f t="shared" si="4"/>
        <v>1</v>
      </c>
      <c r="Z18" s="8">
        <f t="shared" si="5"/>
        <v>1</v>
      </c>
      <c r="AA18" s="8">
        <f>IF(J18="",SUMPRODUCT(($J$5:$J$69="")*($H$5:$H$69&lt;H18))+SUMPRODUCT((J$5:J18="")*($H$5:H18=H18)),"")</f>
        <v>12</v>
      </c>
      <c r="AB18" s="8">
        <f>IF(J18="",SUMPRODUCT(($J$5:$J$69="")*($H$5:$H$69&gt;H18))+SUMPRODUCT((J$5:J18="")*($H$5:H18=H18)),"")</f>
        <v>18</v>
      </c>
      <c r="AC18" s="8">
        <f t="shared" si="6"/>
        <v>1</v>
      </c>
      <c r="AD18" s="8">
        <f t="shared" si="7"/>
        <v>1</v>
      </c>
      <c r="AE18" s="8">
        <f>IF(K18="",SUMPRODUCT(($K$5:$K$69="")*($H$5:$H$69&lt;H18))+SUMPRODUCT((K$5:K18="")*($H$5:H18=H18)),"")</f>
        <v>10</v>
      </c>
      <c r="AF18" s="8">
        <f>IF(K18="",SUMPRODUCT(($K$5:$K$69="")*($H$5:$H$69&gt;H18))+SUMPRODUCT((K$5:K18="")*($H$5:H18=H18)),"")</f>
        <v>21</v>
      </c>
      <c r="AG18" s="8">
        <f t="shared" si="8"/>
        <v>1</v>
      </c>
      <c r="AH18" s="8">
        <f t="shared" si="9"/>
        <v>1</v>
      </c>
    </row>
    <row r="19" spans="1:34" ht="35.1" customHeight="1" x14ac:dyDescent="0.25">
      <c r="A19" s="8" t="s">
        <v>164</v>
      </c>
      <c r="B19" s="8" t="s">
        <v>1</v>
      </c>
      <c r="C19" s="8" t="s">
        <v>157</v>
      </c>
      <c r="D19" s="8" t="s">
        <v>161</v>
      </c>
      <c r="E19" s="8" t="s">
        <v>128</v>
      </c>
      <c r="F19" s="16">
        <v>120835</v>
      </c>
      <c r="G19" s="16">
        <v>120834.62</v>
      </c>
      <c r="H19" s="13">
        <f t="shared" si="0"/>
        <v>120834.62</v>
      </c>
      <c r="I19" s="21">
        <v>1</v>
      </c>
      <c r="J19" s="21">
        <v>1</v>
      </c>
      <c r="K19" s="21">
        <v>1</v>
      </c>
      <c r="L19" s="8" t="s">
        <v>340</v>
      </c>
      <c r="M19" s="14">
        <f>Y19*Resumen!$C$6+AC19*Resumen!$C$7+AG19*Resumen!$C$9</f>
        <v>1</v>
      </c>
      <c r="N19" s="14">
        <f>Z19*Resumen!$C$6+AD19*Resumen!$C$7+AH19*Resumen!$C$9</f>
        <v>1</v>
      </c>
      <c r="O19" s="13">
        <f t="shared" si="1"/>
        <v>120834.62</v>
      </c>
      <c r="P19" s="13">
        <f t="shared" si="2"/>
        <v>120834.62</v>
      </c>
      <c r="Q19" s="21" t="s">
        <v>341</v>
      </c>
      <c r="R19" s="21" t="s">
        <v>341</v>
      </c>
      <c r="S19" s="21" t="s">
        <v>341</v>
      </c>
      <c r="T19" s="28"/>
      <c r="U19" s="13">
        <f>H19*((Q19="Oficial")*Resumen!$C$6+(R19="Oficial")*Resumen!$C$7+(S19="Oficial")*Resumen!$C$9)</f>
        <v>0</v>
      </c>
      <c r="V19" s="8" t="str">
        <f t="shared" si="3"/>
        <v>Con entregas verificadas</v>
      </c>
      <c r="W19" s="8" t="str">
        <f>IF(I19="",SUMPRODUCT(($I$5:$I$69="")*($H$5:$H$69&lt;H19))+SUMPRODUCT((I$5:I19="")*($H$5:H19=H19)),"")</f>
        <v/>
      </c>
      <c r="X19" s="8" t="str">
        <f>IF(I19="",SUMPRODUCT(($I$5:$I$69="")*($H$5:$H$69&gt;H19))+SUMPRODUCT((I$5:I19="")*($H$5:H19=H19)),"")</f>
        <v/>
      </c>
      <c r="Y19" s="8">
        <f t="shared" si="4"/>
        <v>1</v>
      </c>
      <c r="Z19" s="8">
        <f t="shared" si="5"/>
        <v>1</v>
      </c>
      <c r="AA19" s="8" t="str">
        <f>IF(J19="",SUMPRODUCT(($J$5:$J$69="")*($H$5:$H$69&lt;H19))+SUMPRODUCT((J$5:J19="")*($H$5:H19=H19)),"")</f>
        <v/>
      </c>
      <c r="AB19" s="8" t="str">
        <f>IF(J19="",SUMPRODUCT(($J$5:$J$69="")*($H$5:$H$69&gt;H19))+SUMPRODUCT((J$5:J19="")*($H$5:H19=H19)),"")</f>
        <v/>
      </c>
      <c r="AC19" s="8">
        <f t="shared" si="6"/>
        <v>1</v>
      </c>
      <c r="AD19" s="8">
        <f t="shared" si="7"/>
        <v>1</v>
      </c>
      <c r="AE19" s="8" t="str">
        <f>IF(K19="",SUMPRODUCT(($K$5:$K$69="")*($H$5:$H$69&lt;H19))+SUMPRODUCT((K$5:K19="")*($H$5:H19=H19)),"")</f>
        <v/>
      </c>
      <c r="AF19" s="8" t="str">
        <f>IF(K19="",SUMPRODUCT(($K$5:$K$69="")*($H$5:$H$69&gt;H19))+SUMPRODUCT((K$5:K19="")*($H$5:H19=H19)),"")</f>
        <v/>
      </c>
      <c r="AG19" s="8">
        <f t="shared" si="8"/>
        <v>1</v>
      </c>
      <c r="AH19" s="8">
        <f t="shared" si="9"/>
        <v>1</v>
      </c>
    </row>
    <row r="20" spans="1:34" ht="23.85" customHeight="1" x14ac:dyDescent="0.25">
      <c r="A20" s="8" t="s">
        <v>165</v>
      </c>
      <c r="B20" s="8" t="s">
        <v>166</v>
      </c>
      <c r="C20" s="8" t="s">
        <v>149</v>
      </c>
      <c r="D20" s="8" t="s">
        <v>161</v>
      </c>
      <c r="E20" s="8" t="s">
        <v>128</v>
      </c>
      <c r="F20" s="16">
        <v>11050</v>
      </c>
      <c r="G20" s="16">
        <v>11050.26</v>
      </c>
      <c r="H20" s="13">
        <f t="shared" si="0"/>
        <v>11050.26</v>
      </c>
      <c r="I20" s="21">
        <v>1</v>
      </c>
      <c r="J20" s="21">
        <v>1</v>
      </c>
      <c r="K20" s="21">
        <v>1</v>
      </c>
      <c r="L20" s="8" t="s">
        <v>349</v>
      </c>
      <c r="M20" s="14">
        <f>Y20*Resumen!$C$6+AC20*Resumen!$C$7+AG20*Resumen!$C$9</f>
        <v>1</v>
      </c>
      <c r="N20" s="14">
        <f>Z20*Resumen!$C$6+AD20*Resumen!$C$7+AH20*Resumen!$C$9</f>
        <v>1</v>
      </c>
      <c r="O20" s="13">
        <f t="shared" si="1"/>
        <v>11050.26</v>
      </c>
      <c r="P20" s="13">
        <f t="shared" si="2"/>
        <v>11050.26</v>
      </c>
      <c r="Q20" s="21" t="s">
        <v>345</v>
      </c>
      <c r="R20" s="21" t="s">
        <v>345</v>
      </c>
      <c r="S20" s="21" t="s">
        <v>341</v>
      </c>
      <c r="T20" s="28"/>
      <c r="U20" s="13">
        <f>H20*((Q20="Oficial")*Resumen!$C$6+(R20="Oficial")*Resumen!$C$7+(S20="Oficial")*Resumen!$C$9)</f>
        <v>9945.2340000000004</v>
      </c>
      <c r="V20" s="8" t="str">
        <f t="shared" si="3"/>
        <v>Con entregas verificadas</v>
      </c>
      <c r="W20" s="8" t="str">
        <f>IF(I20="",SUMPRODUCT(($I$5:$I$69="")*($H$5:$H$69&lt;H20))+SUMPRODUCT((I$5:I20="")*($H$5:H20=H20)),"")</f>
        <v/>
      </c>
      <c r="X20" s="8" t="str">
        <f>IF(I20="",SUMPRODUCT(($I$5:$I$69="")*($H$5:$H$69&gt;H20))+SUMPRODUCT((I$5:I20="")*($H$5:H20=H20)),"")</f>
        <v/>
      </c>
      <c r="Y20" s="8">
        <f t="shared" si="4"/>
        <v>1</v>
      </c>
      <c r="Z20" s="8">
        <f t="shared" si="5"/>
        <v>1</v>
      </c>
      <c r="AA20" s="8" t="str">
        <f>IF(J20="",SUMPRODUCT(($J$5:$J$69="")*($H$5:$H$69&lt;H20))+SUMPRODUCT((J$5:J20="")*($H$5:H20=H20)),"")</f>
        <v/>
      </c>
      <c r="AB20" s="8" t="str">
        <f>IF(J20="",SUMPRODUCT(($J$5:$J$69="")*($H$5:$H$69&gt;H20))+SUMPRODUCT((J$5:J20="")*($H$5:H20=H20)),"")</f>
        <v/>
      </c>
      <c r="AC20" s="8">
        <f t="shared" si="6"/>
        <v>1</v>
      </c>
      <c r="AD20" s="8">
        <f t="shared" si="7"/>
        <v>1</v>
      </c>
      <c r="AE20" s="8" t="str">
        <f>IF(K20="",SUMPRODUCT(($K$5:$K$69="")*($H$5:$H$69&lt;H20))+SUMPRODUCT((K$5:K20="")*($H$5:H20=H20)),"")</f>
        <v/>
      </c>
      <c r="AF20" s="8" t="str">
        <f>IF(K20="",SUMPRODUCT(($K$5:$K$69="")*($H$5:$H$69&gt;H20))+SUMPRODUCT((K$5:K20="")*($H$5:H20=H20)),"")</f>
        <v/>
      </c>
      <c r="AG20" s="8">
        <f t="shared" si="8"/>
        <v>1</v>
      </c>
      <c r="AH20" s="8">
        <f t="shared" si="9"/>
        <v>1</v>
      </c>
    </row>
    <row r="21" spans="1:34" ht="15" customHeight="1" x14ac:dyDescent="0.25">
      <c r="A21" s="8" t="s">
        <v>167</v>
      </c>
      <c r="B21" s="8" t="s">
        <v>168</v>
      </c>
      <c r="C21" s="8" t="s">
        <v>138</v>
      </c>
      <c r="D21" s="8" t="s">
        <v>161</v>
      </c>
      <c r="E21" s="8" t="s">
        <v>128</v>
      </c>
      <c r="F21" s="16">
        <v>30466</v>
      </c>
      <c r="H21" s="13">
        <f t="shared" si="0"/>
        <v>30466</v>
      </c>
      <c r="I21" s="26"/>
      <c r="J21" s="26"/>
      <c r="K21" s="26"/>
      <c r="L21" s="8" t="s">
        <v>304</v>
      </c>
      <c r="M21" s="14">
        <f>Y21*Resumen!$C$6+AC21*Resumen!$C$7+AG21*Resumen!$C$9</f>
        <v>1</v>
      </c>
      <c r="N21" s="14">
        <f>Z21*Resumen!$C$6+AD21*Resumen!$C$7+AH21*Resumen!$C$9</f>
        <v>1</v>
      </c>
      <c r="O21" s="13">
        <f t="shared" si="1"/>
        <v>30466</v>
      </c>
      <c r="P21" s="13">
        <f t="shared" si="2"/>
        <v>30466</v>
      </c>
      <c r="Q21" s="27"/>
      <c r="R21" s="27"/>
      <c r="S21" s="27"/>
      <c r="T21" s="28"/>
      <c r="U21" s="13">
        <f>H21*((Q21="Oficial")*Resumen!$C$6+(R21="Oficial")*Resumen!$C$7+(S21="Oficial")*Resumen!$C$9)</f>
        <v>0</v>
      </c>
      <c r="V21" s="8" t="str">
        <f t="shared" si="3"/>
        <v>Sin evidencia municipal</v>
      </c>
      <c r="W21" s="8">
        <f>IF(I21="",SUMPRODUCT(($I$5:$I$69="")*($H$5:$H$69&lt;H21))+SUMPRODUCT((I$5:I21="")*($H$5:H21=H21)),"")</f>
        <v>13</v>
      </c>
      <c r="X21" s="8">
        <f>IF(I21="",SUMPRODUCT(($I$5:$I$69="")*($H$5:$H$69&gt;H21))+SUMPRODUCT((I$5:I21="")*($H$5:H21=H21)),"")</f>
        <v>16</v>
      </c>
      <c r="Y21" s="8">
        <f t="shared" si="4"/>
        <v>1</v>
      </c>
      <c r="Z21" s="8">
        <f t="shared" si="5"/>
        <v>1</v>
      </c>
      <c r="AA21" s="8">
        <f>IF(J21="",SUMPRODUCT(($J$5:$J$69="")*($H$5:$H$69&lt;H21))+SUMPRODUCT((J$5:J21="")*($H$5:H21=H21)),"")</f>
        <v>13</v>
      </c>
      <c r="AB21" s="8">
        <f>IF(J21="",SUMPRODUCT(($J$5:$J$69="")*($H$5:$H$69&gt;H21))+SUMPRODUCT((J$5:J21="")*($H$5:H21=H21)),"")</f>
        <v>17</v>
      </c>
      <c r="AC21" s="8">
        <f t="shared" si="6"/>
        <v>1</v>
      </c>
      <c r="AD21" s="8">
        <f t="shared" si="7"/>
        <v>1</v>
      </c>
      <c r="AE21" s="8">
        <f>IF(K21="",SUMPRODUCT(($K$5:$K$69="")*($H$5:$H$69&lt;H21))+SUMPRODUCT((K$5:K21="")*($H$5:H21=H21)),"")</f>
        <v>11</v>
      </c>
      <c r="AF21" s="8">
        <f>IF(K21="",SUMPRODUCT(($K$5:$K$69="")*($H$5:$H$69&gt;H21))+SUMPRODUCT((K$5:K21="")*($H$5:H21=H21)),"")</f>
        <v>20</v>
      </c>
      <c r="AG21" s="8">
        <f t="shared" si="8"/>
        <v>1</v>
      </c>
      <c r="AH21" s="8">
        <f t="shared" si="9"/>
        <v>1</v>
      </c>
    </row>
    <row r="22" spans="1:34" ht="15" customHeight="1" x14ac:dyDescent="0.25">
      <c r="A22" s="8" t="s">
        <v>169</v>
      </c>
      <c r="B22" s="8" t="s">
        <v>170</v>
      </c>
      <c r="C22" s="8" t="s">
        <v>138</v>
      </c>
      <c r="D22" s="8" t="s">
        <v>161</v>
      </c>
      <c r="E22" s="8" t="s">
        <v>128</v>
      </c>
      <c r="F22" s="16">
        <v>37624</v>
      </c>
      <c r="H22" s="13">
        <f t="shared" si="0"/>
        <v>37624</v>
      </c>
      <c r="I22" s="26"/>
      <c r="J22" s="26"/>
      <c r="K22" s="26"/>
      <c r="L22" s="8" t="s">
        <v>304</v>
      </c>
      <c r="M22" s="14">
        <f>Y22*Resumen!$C$6+AC22*Resumen!$C$7+AG22*Resumen!$C$9</f>
        <v>1</v>
      </c>
      <c r="N22" s="14">
        <f>Z22*Resumen!$C$6+AD22*Resumen!$C$7+AH22*Resumen!$C$9</f>
        <v>1</v>
      </c>
      <c r="O22" s="13">
        <f t="shared" si="1"/>
        <v>37624</v>
      </c>
      <c r="P22" s="13">
        <f t="shared" si="2"/>
        <v>37624</v>
      </c>
      <c r="Q22" s="27"/>
      <c r="R22" s="27"/>
      <c r="S22" s="27"/>
      <c r="T22" s="28"/>
      <c r="U22" s="13">
        <f>H22*((Q22="Oficial")*Resumen!$C$6+(R22="Oficial")*Resumen!$C$7+(S22="Oficial")*Resumen!$C$9)</f>
        <v>0</v>
      </c>
      <c r="V22" s="8" t="str">
        <f t="shared" si="3"/>
        <v>Sin evidencia municipal</v>
      </c>
      <c r="W22" s="8">
        <f>IF(I22="",SUMPRODUCT(($I$5:$I$69="")*($H$5:$H$69&lt;H22))+SUMPRODUCT((I$5:I22="")*($H$5:H22=H22)),"")</f>
        <v>18</v>
      </c>
      <c r="X22" s="8">
        <f>IF(I22="",SUMPRODUCT(($I$5:$I$69="")*($H$5:$H$69&gt;H22))+SUMPRODUCT((I$5:I22="")*($H$5:H22=H22)),"")</f>
        <v>11</v>
      </c>
      <c r="Y22" s="8">
        <f t="shared" si="4"/>
        <v>1</v>
      </c>
      <c r="Z22" s="8">
        <f t="shared" si="5"/>
        <v>1</v>
      </c>
      <c r="AA22" s="8">
        <f>IF(J22="",SUMPRODUCT(($J$5:$J$69="")*($H$5:$H$69&lt;H22))+SUMPRODUCT((J$5:J22="")*($H$5:H22=H22)),"")</f>
        <v>18</v>
      </c>
      <c r="AB22" s="8">
        <f>IF(J22="",SUMPRODUCT(($J$5:$J$69="")*($H$5:$H$69&gt;H22))+SUMPRODUCT((J$5:J22="")*($H$5:H22=H22)),"")</f>
        <v>12</v>
      </c>
      <c r="AC22" s="8">
        <f t="shared" si="6"/>
        <v>1</v>
      </c>
      <c r="AD22" s="8">
        <f t="shared" si="7"/>
        <v>1</v>
      </c>
      <c r="AE22" s="8">
        <f>IF(K22="",SUMPRODUCT(($K$5:$K$69="")*($H$5:$H$69&lt;H22))+SUMPRODUCT((K$5:K22="")*($H$5:H22=H22)),"")</f>
        <v>17</v>
      </c>
      <c r="AF22" s="8">
        <f>IF(K22="",SUMPRODUCT(($K$5:$K$69="")*($H$5:$H$69&gt;H22))+SUMPRODUCT((K$5:K22="")*($H$5:H22=H22)),"")</f>
        <v>14</v>
      </c>
      <c r="AG22" s="8">
        <f t="shared" si="8"/>
        <v>1</v>
      </c>
      <c r="AH22" s="8">
        <f t="shared" si="9"/>
        <v>1</v>
      </c>
    </row>
    <row r="23" spans="1:34" ht="15" customHeight="1" x14ac:dyDescent="0.25">
      <c r="A23" s="8" t="s">
        <v>171</v>
      </c>
      <c r="B23" s="8" t="s">
        <v>172</v>
      </c>
      <c r="C23" s="8" t="s">
        <v>149</v>
      </c>
      <c r="D23" s="8" t="s">
        <v>161</v>
      </c>
      <c r="E23" s="8" t="s">
        <v>128</v>
      </c>
      <c r="F23" s="16">
        <v>35519</v>
      </c>
      <c r="H23" s="13">
        <f t="shared" si="0"/>
        <v>35519</v>
      </c>
      <c r="I23" s="26"/>
      <c r="J23" s="26"/>
      <c r="K23" s="26"/>
      <c r="L23" s="8" t="s">
        <v>304</v>
      </c>
      <c r="M23" s="14">
        <f>Y23*Resumen!$C$6+AC23*Resumen!$C$7+AG23*Resumen!$C$9</f>
        <v>1</v>
      </c>
      <c r="N23" s="14">
        <f>Z23*Resumen!$C$6+AD23*Resumen!$C$7+AH23*Resumen!$C$9</f>
        <v>1</v>
      </c>
      <c r="O23" s="13">
        <f t="shared" si="1"/>
        <v>35519</v>
      </c>
      <c r="P23" s="13">
        <f t="shared" si="2"/>
        <v>35519</v>
      </c>
      <c r="Q23" s="27"/>
      <c r="R23" s="27"/>
      <c r="S23" s="27"/>
      <c r="T23" s="28"/>
      <c r="U23" s="13">
        <f>H23*((Q23="Oficial")*Resumen!$C$6+(R23="Oficial")*Resumen!$C$7+(S23="Oficial")*Resumen!$C$9)</f>
        <v>0</v>
      </c>
      <c r="V23" s="8" t="str">
        <f t="shared" si="3"/>
        <v>Sin evidencia municipal</v>
      </c>
      <c r="W23" s="8">
        <f>IF(I23="",SUMPRODUCT(($I$5:$I$69="")*($H$5:$H$69&lt;H23))+SUMPRODUCT((I$5:I23="")*($H$5:H23=H23)),"")</f>
        <v>16</v>
      </c>
      <c r="X23" s="8">
        <f>IF(I23="",SUMPRODUCT(($I$5:$I$69="")*($H$5:$H$69&gt;H23))+SUMPRODUCT((I$5:I23="")*($H$5:H23=H23)),"")</f>
        <v>13</v>
      </c>
      <c r="Y23" s="8">
        <f t="shared" si="4"/>
        <v>1</v>
      </c>
      <c r="Z23" s="8">
        <f t="shared" si="5"/>
        <v>1</v>
      </c>
      <c r="AA23" s="8">
        <f>IF(J23="",SUMPRODUCT(($J$5:$J$69="")*($H$5:$H$69&lt;H23))+SUMPRODUCT((J$5:J23="")*($H$5:H23=H23)),"")</f>
        <v>16</v>
      </c>
      <c r="AB23" s="8">
        <f>IF(J23="",SUMPRODUCT(($J$5:$J$69="")*($H$5:$H$69&gt;H23))+SUMPRODUCT((J$5:J23="")*($H$5:H23=H23)),"")</f>
        <v>14</v>
      </c>
      <c r="AC23" s="8">
        <f t="shared" si="6"/>
        <v>1</v>
      </c>
      <c r="AD23" s="8">
        <f t="shared" si="7"/>
        <v>1</v>
      </c>
      <c r="AE23" s="8">
        <f>IF(K23="",SUMPRODUCT(($K$5:$K$69="")*($H$5:$H$69&lt;H23))+SUMPRODUCT((K$5:K23="")*($H$5:H23=H23)),"")</f>
        <v>15</v>
      </c>
      <c r="AF23" s="8">
        <f>IF(K23="",SUMPRODUCT(($K$5:$K$69="")*($H$5:$H$69&gt;H23))+SUMPRODUCT((K$5:K23="")*($H$5:H23=H23)),"")</f>
        <v>16</v>
      </c>
      <c r="AG23" s="8">
        <f t="shared" si="8"/>
        <v>1</v>
      </c>
      <c r="AH23" s="8">
        <f t="shared" si="9"/>
        <v>1</v>
      </c>
    </row>
    <row r="24" spans="1:34" ht="35.1" customHeight="1" x14ac:dyDescent="0.25">
      <c r="A24" s="8" t="s">
        <v>173</v>
      </c>
      <c r="B24" s="8" t="s">
        <v>174</v>
      </c>
      <c r="C24" s="8" t="s">
        <v>138</v>
      </c>
      <c r="D24" s="8" t="s">
        <v>161</v>
      </c>
      <c r="E24" s="8" t="s">
        <v>128</v>
      </c>
      <c r="F24" s="16">
        <v>23206</v>
      </c>
      <c r="H24" s="13">
        <f t="shared" si="0"/>
        <v>23206</v>
      </c>
      <c r="I24" s="21">
        <v>1</v>
      </c>
      <c r="J24" s="21">
        <v>1</v>
      </c>
      <c r="K24" s="21">
        <v>1</v>
      </c>
      <c r="L24" s="8" t="s">
        <v>350</v>
      </c>
      <c r="M24" s="14">
        <f>Y24*Resumen!$C$6+AC24*Resumen!$C$7+AG24*Resumen!$C$9</f>
        <v>1</v>
      </c>
      <c r="N24" s="14">
        <f>Z24*Resumen!$C$6+AD24*Resumen!$C$7+AH24*Resumen!$C$9</f>
        <v>1</v>
      </c>
      <c r="O24" s="13">
        <f t="shared" si="1"/>
        <v>23206</v>
      </c>
      <c r="P24" s="13">
        <f t="shared" si="2"/>
        <v>23206</v>
      </c>
      <c r="Q24" s="21" t="s">
        <v>343</v>
      </c>
      <c r="R24" s="21" t="s">
        <v>343</v>
      </c>
      <c r="S24" s="21" t="s">
        <v>343</v>
      </c>
      <c r="T24" s="28"/>
      <c r="U24" s="13">
        <f>H24*((Q24="Oficial")*Resumen!$C$6+(R24="Oficial")*Resumen!$C$7+(S24="Oficial")*Resumen!$C$9)</f>
        <v>0</v>
      </c>
      <c r="V24" s="8" t="str">
        <f t="shared" si="3"/>
        <v>Con entregas verificadas</v>
      </c>
      <c r="W24" s="8" t="str">
        <f>IF(I24="",SUMPRODUCT(($I$5:$I$69="")*($H$5:$H$69&lt;H24))+SUMPRODUCT((I$5:I24="")*($H$5:H24=H24)),"")</f>
        <v/>
      </c>
      <c r="X24" s="8" t="str">
        <f>IF(I24="",SUMPRODUCT(($I$5:$I$69="")*($H$5:$H$69&gt;H24))+SUMPRODUCT((I$5:I24="")*($H$5:H24=H24)),"")</f>
        <v/>
      </c>
      <c r="Y24" s="8">
        <f t="shared" si="4"/>
        <v>1</v>
      </c>
      <c r="Z24" s="8">
        <f t="shared" si="5"/>
        <v>1</v>
      </c>
      <c r="AA24" s="8" t="str">
        <f>IF(J24="",SUMPRODUCT(($J$5:$J$69="")*($H$5:$H$69&lt;H24))+SUMPRODUCT((J$5:J24="")*($H$5:H24=H24)),"")</f>
        <v/>
      </c>
      <c r="AB24" s="8" t="str">
        <f>IF(J24="",SUMPRODUCT(($J$5:$J$69="")*($H$5:$H$69&gt;H24))+SUMPRODUCT((J$5:J24="")*($H$5:H24=H24)),"")</f>
        <v/>
      </c>
      <c r="AC24" s="8">
        <f t="shared" si="6"/>
        <v>1</v>
      </c>
      <c r="AD24" s="8">
        <f t="shared" si="7"/>
        <v>1</v>
      </c>
      <c r="AE24" s="8" t="str">
        <f>IF(K24="",SUMPRODUCT(($K$5:$K$69="")*($H$5:$H$69&lt;H24))+SUMPRODUCT((K$5:K24="")*($H$5:H24=H24)),"")</f>
        <v/>
      </c>
      <c r="AF24" s="8" t="str">
        <f>IF(K24="",SUMPRODUCT(($K$5:$K$69="")*($H$5:$H$69&gt;H24))+SUMPRODUCT((K$5:K24="")*($H$5:H24=H24)),"")</f>
        <v/>
      </c>
      <c r="AG24" s="8">
        <f t="shared" si="8"/>
        <v>1</v>
      </c>
      <c r="AH24" s="8">
        <f t="shared" si="9"/>
        <v>1</v>
      </c>
    </row>
    <row r="25" spans="1:34" ht="23.85" customHeight="1" x14ac:dyDescent="0.25">
      <c r="A25" s="8" t="s">
        <v>175</v>
      </c>
      <c r="B25" s="8" t="s">
        <v>176</v>
      </c>
      <c r="C25" s="8" t="s">
        <v>177</v>
      </c>
      <c r="D25" s="8" t="s">
        <v>161</v>
      </c>
      <c r="E25" s="8" t="s">
        <v>128</v>
      </c>
      <c r="F25" s="16">
        <v>26258</v>
      </c>
      <c r="H25" s="13">
        <f t="shared" si="0"/>
        <v>26258</v>
      </c>
      <c r="I25" s="21">
        <v>1</v>
      </c>
      <c r="J25" s="21">
        <v>1</v>
      </c>
      <c r="K25" s="21">
        <v>1</v>
      </c>
      <c r="L25" s="8" t="s">
        <v>351</v>
      </c>
      <c r="M25" s="14">
        <f>Y25*Resumen!$C$6+AC25*Resumen!$C$7+AG25*Resumen!$C$9</f>
        <v>1</v>
      </c>
      <c r="N25" s="14">
        <f>Z25*Resumen!$C$6+AD25*Resumen!$C$7+AH25*Resumen!$C$9</f>
        <v>1</v>
      </c>
      <c r="O25" s="13">
        <f t="shared" si="1"/>
        <v>26258</v>
      </c>
      <c r="P25" s="13">
        <f t="shared" si="2"/>
        <v>26258</v>
      </c>
      <c r="Q25" s="21" t="s">
        <v>345</v>
      </c>
      <c r="R25" s="21" t="s">
        <v>341</v>
      </c>
      <c r="S25" s="21" t="s">
        <v>341</v>
      </c>
      <c r="T25" s="28"/>
      <c r="U25" s="13">
        <f>H25*((Q25="Oficial")*Resumen!$C$6+(R25="Oficial")*Resumen!$C$7+(S25="Oficial")*Resumen!$C$9)</f>
        <v>11816.1</v>
      </c>
      <c r="V25" s="8" t="str">
        <f t="shared" si="3"/>
        <v>Con entregas verificadas</v>
      </c>
      <c r="W25" s="8" t="str">
        <f>IF(I25="",SUMPRODUCT(($I$5:$I$69="")*($H$5:$H$69&lt;H25))+SUMPRODUCT((I$5:I25="")*($H$5:H25=H25)),"")</f>
        <v/>
      </c>
      <c r="X25" s="8" t="str">
        <f>IF(I25="",SUMPRODUCT(($I$5:$I$69="")*($H$5:$H$69&gt;H25))+SUMPRODUCT((I$5:I25="")*($H$5:H25=H25)),"")</f>
        <v/>
      </c>
      <c r="Y25" s="8">
        <f t="shared" si="4"/>
        <v>1</v>
      </c>
      <c r="Z25" s="8">
        <f t="shared" si="5"/>
        <v>1</v>
      </c>
      <c r="AA25" s="8" t="str">
        <f>IF(J25="",SUMPRODUCT(($J$5:$J$69="")*($H$5:$H$69&lt;H25))+SUMPRODUCT((J$5:J25="")*($H$5:H25=H25)),"")</f>
        <v/>
      </c>
      <c r="AB25" s="8" t="str">
        <f>IF(J25="",SUMPRODUCT(($J$5:$J$69="")*($H$5:$H$69&gt;H25))+SUMPRODUCT((J$5:J25="")*($H$5:H25=H25)),"")</f>
        <v/>
      </c>
      <c r="AC25" s="8">
        <f t="shared" si="6"/>
        <v>1</v>
      </c>
      <c r="AD25" s="8">
        <f t="shared" si="7"/>
        <v>1</v>
      </c>
      <c r="AE25" s="8" t="str">
        <f>IF(K25="",SUMPRODUCT(($K$5:$K$69="")*($H$5:$H$69&lt;H25))+SUMPRODUCT((K$5:K25="")*($H$5:H25=H25)),"")</f>
        <v/>
      </c>
      <c r="AF25" s="8" t="str">
        <f>IF(K25="",SUMPRODUCT(($K$5:$K$69="")*($H$5:$H$69&gt;H25))+SUMPRODUCT((K$5:K25="")*($H$5:H25=H25)),"")</f>
        <v/>
      </c>
      <c r="AG25" s="8">
        <f t="shared" si="8"/>
        <v>1</v>
      </c>
      <c r="AH25" s="8">
        <f t="shared" si="9"/>
        <v>1</v>
      </c>
    </row>
    <row r="26" spans="1:34" ht="23.85" customHeight="1" x14ac:dyDescent="0.25">
      <c r="A26" s="8" t="s">
        <v>178</v>
      </c>
      <c r="B26" s="8" t="s">
        <v>179</v>
      </c>
      <c r="C26" s="8" t="s">
        <v>180</v>
      </c>
      <c r="D26" s="8" t="s">
        <v>161</v>
      </c>
      <c r="E26" s="8" t="s">
        <v>128</v>
      </c>
      <c r="F26" s="16">
        <v>169909</v>
      </c>
      <c r="H26" s="13">
        <f t="shared" si="0"/>
        <v>169909</v>
      </c>
      <c r="I26" s="21">
        <v>1</v>
      </c>
      <c r="J26" s="21">
        <v>1</v>
      </c>
      <c r="K26" s="26"/>
      <c r="L26" s="8" t="s">
        <v>352</v>
      </c>
      <c r="M26" s="14">
        <f>Y26*Resumen!$C$6+AC26*Resumen!$C$7+AG26*Resumen!$C$9</f>
        <v>0.9</v>
      </c>
      <c r="N26" s="14">
        <f>Z26*Resumen!$C$6+AD26*Resumen!$C$7+AH26*Resumen!$C$9</f>
        <v>1</v>
      </c>
      <c r="O26" s="13">
        <f t="shared" si="1"/>
        <v>152918.1</v>
      </c>
      <c r="P26" s="13">
        <f t="shared" si="2"/>
        <v>169909</v>
      </c>
      <c r="Q26" s="21" t="s">
        <v>341</v>
      </c>
      <c r="R26" s="21" t="s">
        <v>341</v>
      </c>
      <c r="S26" s="27"/>
      <c r="T26" s="28"/>
      <c r="U26" s="13">
        <f>H26*((Q26="Oficial")*Resumen!$C$6+(R26="Oficial")*Resumen!$C$7+(S26="Oficial")*Resumen!$C$9)</f>
        <v>0</v>
      </c>
      <c r="V26" s="8" t="str">
        <f t="shared" si="3"/>
        <v>Con entregas verificadas</v>
      </c>
      <c r="W26" s="8" t="str">
        <f>IF(I26="",SUMPRODUCT(($I$5:$I$69="")*($H$5:$H$69&lt;H26))+SUMPRODUCT((I$5:I26="")*($H$5:H26=H26)),"")</f>
        <v/>
      </c>
      <c r="X26" s="8" t="str">
        <f>IF(I26="",SUMPRODUCT(($I$5:$I$69="")*($H$5:$H$69&gt;H26))+SUMPRODUCT((I$5:I26="")*($H$5:H26=H26)),"")</f>
        <v/>
      </c>
      <c r="Y26" s="8">
        <f t="shared" si="4"/>
        <v>1</v>
      </c>
      <c r="Z26" s="8">
        <f t="shared" si="5"/>
        <v>1</v>
      </c>
      <c r="AA26" s="8" t="str">
        <f>IF(J26="",SUMPRODUCT(($J$5:$J$69="")*($H$5:$H$69&lt;H26))+SUMPRODUCT((J$5:J26="")*($H$5:H26=H26)),"")</f>
        <v/>
      </c>
      <c r="AB26" s="8" t="str">
        <f>IF(J26="",SUMPRODUCT(($J$5:$J$69="")*($H$5:$H$69&gt;H26))+SUMPRODUCT((J$5:J26="")*($H$5:H26=H26)),"")</f>
        <v/>
      </c>
      <c r="AC26" s="8">
        <f t="shared" si="6"/>
        <v>1</v>
      </c>
      <c r="AD26" s="8">
        <f t="shared" si="7"/>
        <v>1</v>
      </c>
      <c r="AE26" s="8">
        <f>IF(K26="",SUMPRODUCT(($K$5:$K$69="")*($H$5:$H$69&lt;H26))+SUMPRODUCT((K$5:K26="")*($H$5:H26=H26)),"")</f>
        <v>28</v>
      </c>
      <c r="AF26" s="8">
        <f>IF(K26="",SUMPRODUCT(($K$5:$K$69="")*($H$5:$H$69&gt;H26))+SUMPRODUCT((K$5:K26="")*($H$5:H26=H26)),"")</f>
        <v>3</v>
      </c>
      <c r="AG26" s="8">
        <f t="shared" si="8"/>
        <v>0</v>
      </c>
      <c r="AH26" s="8">
        <f t="shared" si="9"/>
        <v>1</v>
      </c>
    </row>
    <row r="27" spans="1:34" ht="35.1" customHeight="1" x14ac:dyDescent="0.25">
      <c r="A27" s="8" t="s">
        <v>181</v>
      </c>
      <c r="B27" s="8" t="s">
        <v>182</v>
      </c>
      <c r="C27" s="8" t="s">
        <v>149</v>
      </c>
      <c r="D27" s="8" t="s">
        <v>161</v>
      </c>
      <c r="E27" s="8" t="s">
        <v>128</v>
      </c>
      <c r="F27" s="16">
        <v>36484</v>
      </c>
      <c r="H27" s="13">
        <f t="shared" si="0"/>
        <v>36484</v>
      </c>
      <c r="I27" s="21">
        <v>1</v>
      </c>
      <c r="J27" s="21">
        <v>1</v>
      </c>
      <c r="K27" s="21">
        <v>1</v>
      </c>
      <c r="L27" s="8" t="s">
        <v>340</v>
      </c>
      <c r="M27" s="14">
        <f>Y27*Resumen!$C$6+AC27*Resumen!$C$7+AG27*Resumen!$C$9</f>
        <v>1</v>
      </c>
      <c r="N27" s="14">
        <f>Z27*Resumen!$C$6+AD27*Resumen!$C$7+AH27*Resumen!$C$9</f>
        <v>1</v>
      </c>
      <c r="O27" s="13">
        <f t="shared" si="1"/>
        <v>36484</v>
      </c>
      <c r="P27" s="13">
        <f t="shared" si="2"/>
        <v>36484</v>
      </c>
      <c r="Q27" s="21" t="s">
        <v>341</v>
      </c>
      <c r="R27" s="21" t="s">
        <v>341</v>
      </c>
      <c r="S27" s="21" t="s">
        <v>341</v>
      </c>
      <c r="T27" s="28"/>
      <c r="U27" s="13">
        <f>H27*((Q27="Oficial")*Resumen!$C$6+(R27="Oficial")*Resumen!$C$7+(S27="Oficial")*Resumen!$C$9)</f>
        <v>0</v>
      </c>
      <c r="V27" s="8" t="str">
        <f t="shared" si="3"/>
        <v>Con entregas verificadas</v>
      </c>
      <c r="W27" s="8" t="str">
        <f>IF(I27="",SUMPRODUCT(($I$5:$I$69="")*($H$5:$H$69&lt;H27))+SUMPRODUCT((I$5:I27="")*($H$5:H27=H27)),"")</f>
        <v/>
      </c>
      <c r="X27" s="8" t="str">
        <f>IF(I27="",SUMPRODUCT(($I$5:$I$69="")*($H$5:$H$69&gt;H27))+SUMPRODUCT((I$5:I27="")*($H$5:H27=H27)),"")</f>
        <v/>
      </c>
      <c r="Y27" s="8">
        <f t="shared" si="4"/>
        <v>1</v>
      </c>
      <c r="Z27" s="8">
        <f t="shared" si="5"/>
        <v>1</v>
      </c>
      <c r="AA27" s="8" t="str">
        <f>IF(J27="",SUMPRODUCT(($J$5:$J$69="")*($H$5:$H$69&lt;H27))+SUMPRODUCT((J$5:J27="")*($H$5:H27=H27)),"")</f>
        <v/>
      </c>
      <c r="AB27" s="8" t="str">
        <f>IF(J27="",SUMPRODUCT(($J$5:$J$69="")*($H$5:$H$69&gt;H27))+SUMPRODUCT((J$5:J27="")*($H$5:H27=H27)),"")</f>
        <v/>
      </c>
      <c r="AC27" s="8">
        <f t="shared" si="6"/>
        <v>1</v>
      </c>
      <c r="AD27" s="8">
        <f t="shared" si="7"/>
        <v>1</v>
      </c>
      <c r="AE27" s="8" t="str">
        <f>IF(K27="",SUMPRODUCT(($K$5:$K$69="")*($H$5:$H$69&lt;H27))+SUMPRODUCT((K$5:K27="")*($H$5:H27=H27)),"")</f>
        <v/>
      </c>
      <c r="AF27" s="8" t="str">
        <f>IF(K27="",SUMPRODUCT(($K$5:$K$69="")*($H$5:$H$69&gt;H27))+SUMPRODUCT((K$5:K27="")*($H$5:H27=H27)),"")</f>
        <v/>
      </c>
      <c r="AG27" s="8">
        <f t="shared" si="8"/>
        <v>1</v>
      </c>
      <c r="AH27" s="8">
        <f t="shared" si="9"/>
        <v>1</v>
      </c>
    </row>
    <row r="28" spans="1:34" ht="23.85" customHeight="1" x14ac:dyDescent="0.25">
      <c r="A28" s="8" t="s">
        <v>183</v>
      </c>
      <c r="B28" s="8" t="s">
        <v>184</v>
      </c>
      <c r="C28" s="8" t="s">
        <v>185</v>
      </c>
      <c r="D28" s="8" t="s">
        <v>161</v>
      </c>
      <c r="E28" s="8" t="s">
        <v>128</v>
      </c>
      <c r="F28" s="16">
        <v>76629</v>
      </c>
      <c r="H28" s="13">
        <f t="shared" si="0"/>
        <v>76629</v>
      </c>
      <c r="I28" s="21">
        <v>1</v>
      </c>
      <c r="J28" s="21">
        <v>1</v>
      </c>
      <c r="K28" s="26"/>
      <c r="L28" s="8" t="s">
        <v>352</v>
      </c>
      <c r="M28" s="14">
        <f>Y28*Resumen!$C$6+AC28*Resumen!$C$7+AG28*Resumen!$C$9</f>
        <v>1</v>
      </c>
      <c r="N28" s="14">
        <f>Z28*Resumen!$C$6+AD28*Resumen!$C$7+AH28*Resumen!$C$9</f>
        <v>1</v>
      </c>
      <c r="O28" s="13">
        <f t="shared" si="1"/>
        <v>76629</v>
      </c>
      <c r="P28" s="13">
        <f t="shared" si="2"/>
        <v>76629</v>
      </c>
      <c r="Q28" s="21" t="s">
        <v>341</v>
      </c>
      <c r="R28" s="21" t="s">
        <v>341</v>
      </c>
      <c r="S28" s="27"/>
      <c r="T28" s="28"/>
      <c r="U28" s="13">
        <f>H28*((Q28="Oficial")*Resumen!$C$6+(R28="Oficial")*Resumen!$C$7+(S28="Oficial")*Resumen!$C$9)</f>
        <v>0</v>
      </c>
      <c r="V28" s="8" t="str">
        <f t="shared" si="3"/>
        <v>Con entregas verificadas</v>
      </c>
      <c r="W28" s="8" t="str">
        <f>IF(I28="",SUMPRODUCT(($I$5:$I$69="")*($H$5:$H$69&lt;H28))+SUMPRODUCT((I$5:I28="")*($H$5:H28=H28)),"")</f>
        <v/>
      </c>
      <c r="X28" s="8" t="str">
        <f>IF(I28="",SUMPRODUCT(($I$5:$I$69="")*($H$5:$H$69&gt;H28))+SUMPRODUCT((I$5:I28="")*($H$5:H28=H28)),"")</f>
        <v/>
      </c>
      <c r="Y28" s="8">
        <f t="shared" si="4"/>
        <v>1</v>
      </c>
      <c r="Z28" s="8">
        <f t="shared" si="5"/>
        <v>1</v>
      </c>
      <c r="AA28" s="8" t="str">
        <f>IF(J28="",SUMPRODUCT(($J$5:$J$69="")*($H$5:$H$69&lt;H28))+SUMPRODUCT((J$5:J28="")*($H$5:H28=H28)),"")</f>
        <v/>
      </c>
      <c r="AB28" s="8" t="str">
        <f>IF(J28="",SUMPRODUCT(($J$5:$J$69="")*($H$5:$H$69&gt;H28))+SUMPRODUCT((J$5:J28="")*($H$5:H28=H28)),"")</f>
        <v/>
      </c>
      <c r="AC28" s="8">
        <f t="shared" si="6"/>
        <v>1</v>
      </c>
      <c r="AD28" s="8">
        <f t="shared" si="7"/>
        <v>1</v>
      </c>
      <c r="AE28" s="8">
        <f>IF(K28="",SUMPRODUCT(($K$5:$K$69="")*($H$5:$H$69&lt;H28))+SUMPRODUCT((K$5:K28="")*($H$5:H28=H28)),"")</f>
        <v>23</v>
      </c>
      <c r="AF28" s="8">
        <f>IF(K28="",SUMPRODUCT(($K$5:$K$69="")*($H$5:$H$69&gt;H28))+SUMPRODUCT((K$5:K28="")*($H$5:H28=H28)),"")</f>
        <v>8</v>
      </c>
      <c r="AG28" s="8">
        <f t="shared" si="8"/>
        <v>1</v>
      </c>
      <c r="AH28" s="8">
        <f t="shared" si="9"/>
        <v>1</v>
      </c>
    </row>
    <row r="29" spans="1:34" ht="23.85" customHeight="1" x14ac:dyDescent="0.25">
      <c r="A29" s="8" t="s">
        <v>186</v>
      </c>
      <c r="B29" s="8" t="s">
        <v>187</v>
      </c>
      <c r="C29" s="8" t="s">
        <v>157</v>
      </c>
      <c r="D29" s="8" t="s">
        <v>161</v>
      </c>
      <c r="E29" s="8" t="s">
        <v>128</v>
      </c>
      <c r="F29" s="16">
        <v>4691</v>
      </c>
      <c r="G29" s="16">
        <v>4691.49</v>
      </c>
      <c r="H29" s="13">
        <f t="shared" si="0"/>
        <v>4691.49</v>
      </c>
      <c r="I29" s="21">
        <v>1</v>
      </c>
      <c r="J29" s="21">
        <v>1</v>
      </c>
      <c r="K29" s="21">
        <v>1</v>
      </c>
      <c r="L29" s="8" t="s">
        <v>349</v>
      </c>
      <c r="M29" s="14">
        <f>Y29*Resumen!$C$6+AC29*Resumen!$C$7+AG29*Resumen!$C$9</f>
        <v>1</v>
      </c>
      <c r="N29" s="14">
        <f>Z29*Resumen!$C$6+AD29*Resumen!$C$7+AH29*Resumen!$C$9</f>
        <v>1</v>
      </c>
      <c r="O29" s="13">
        <f t="shared" si="1"/>
        <v>4691.49</v>
      </c>
      <c r="P29" s="13">
        <f t="shared" si="2"/>
        <v>4691.49</v>
      </c>
      <c r="Q29" s="21" t="s">
        <v>345</v>
      </c>
      <c r="R29" s="21" t="s">
        <v>345</v>
      </c>
      <c r="S29" s="21" t="s">
        <v>341</v>
      </c>
      <c r="T29" s="28"/>
      <c r="U29" s="13">
        <f>H29*((Q29="Oficial")*Resumen!$C$6+(R29="Oficial")*Resumen!$C$7+(S29="Oficial")*Resumen!$C$9)</f>
        <v>4222.3410000000003</v>
      </c>
      <c r="V29" s="8" t="str">
        <f t="shared" si="3"/>
        <v>Con entregas verificadas</v>
      </c>
      <c r="W29" s="8" t="str">
        <f>IF(I29="",SUMPRODUCT(($I$5:$I$69="")*($H$5:$H$69&lt;H29))+SUMPRODUCT((I$5:I29="")*($H$5:H29=H29)),"")</f>
        <v/>
      </c>
      <c r="X29" s="8" t="str">
        <f>IF(I29="",SUMPRODUCT(($I$5:$I$69="")*($H$5:$H$69&gt;H29))+SUMPRODUCT((I$5:I29="")*($H$5:H29=H29)),"")</f>
        <v/>
      </c>
      <c r="Y29" s="8">
        <f t="shared" si="4"/>
        <v>1</v>
      </c>
      <c r="Z29" s="8">
        <f t="shared" si="5"/>
        <v>1</v>
      </c>
      <c r="AA29" s="8" t="str">
        <f>IF(J29="",SUMPRODUCT(($J$5:$J$69="")*($H$5:$H$69&lt;H29))+SUMPRODUCT((J$5:J29="")*($H$5:H29=H29)),"")</f>
        <v/>
      </c>
      <c r="AB29" s="8" t="str">
        <f>IF(J29="",SUMPRODUCT(($J$5:$J$69="")*($H$5:$H$69&gt;H29))+SUMPRODUCT((J$5:J29="")*($H$5:H29=H29)),"")</f>
        <v/>
      </c>
      <c r="AC29" s="8">
        <f t="shared" si="6"/>
        <v>1</v>
      </c>
      <c r="AD29" s="8">
        <f t="shared" si="7"/>
        <v>1</v>
      </c>
      <c r="AE29" s="8" t="str">
        <f>IF(K29="",SUMPRODUCT(($K$5:$K$69="")*($H$5:$H$69&lt;H29))+SUMPRODUCT((K$5:K29="")*($H$5:H29=H29)),"")</f>
        <v/>
      </c>
      <c r="AF29" s="8" t="str">
        <f>IF(K29="",SUMPRODUCT(($K$5:$K$69="")*($H$5:$H$69&gt;H29))+SUMPRODUCT((K$5:K29="")*($H$5:H29=H29)),"")</f>
        <v/>
      </c>
      <c r="AG29" s="8">
        <f t="shared" si="8"/>
        <v>1</v>
      </c>
      <c r="AH29" s="8">
        <f t="shared" si="9"/>
        <v>1</v>
      </c>
    </row>
    <row r="30" spans="1:34" ht="35.1" customHeight="1" x14ac:dyDescent="0.25">
      <c r="A30" s="8" t="s">
        <v>188</v>
      </c>
      <c r="B30" s="8" t="s">
        <v>189</v>
      </c>
      <c r="C30" s="8" t="s">
        <v>149</v>
      </c>
      <c r="D30" s="8" t="s">
        <v>161</v>
      </c>
      <c r="E30" s="8" t="s">
        <v>128</v>
      </c>
      <c r="F30" s="16">
        <v>195844</v>
      </c>
      <c r="H30" s="13">
        <f t="shared" si="0"/>
        <v>195844</v>
      </c>
      <c r="I30" s="21">
        <v>0</v>
      </c>
      <c r="J30" s="21">
        <v>0</v>
      </c>
      <c r="K30" s="21">
        <v>0</v>
      </c>
      <c r="L30" s="8" t="s">
        <v>353</v>
      </c>
      <c r="M30" s="14">
        <f>Y30*Resumen!$C$6+AC30*Resumen!$C$7+AG30*Resumen!$C$9</f>
        <v>0</v>
      </c>
      <c r="N30" s="14">
        <f>Z30*Resumen!$C$6+AD30*Resumen!$C$7+AH30*Resumen!$C$9</f>
        <v>0</v>
      </c>
      <c r="O30" s="13">
        <f t="shared" si="1"/>
        <v>0</v>
      </c>
      <c r="P30" s="13">
        <f t="shared" si="2"/>
        <v>0</v>
      </c>
      <c r="Q30" s="27"/>
      <c r="R30" s="27"/>
      <c r="S30" s="27"/>
      <c r="T30" s="8" t="s">
        <v>354</v>
      </c>
      <c r="U30" s="13">
        <f>H30*((Q30="Oficial")*Resumen!$C$6+(R30="Oficial")*Resumen!$C$7+(S30="Oficial")*Resumen!$C$9)</f>
        <v>0</v>
      </c>
      <c r="V30" s="8" t="str">
        <f t="shared" si="3"/>
        <v>Sin entregas</v>
      </c>
      <c r="W30" s="8" t="str">
        <f>IF(I30="",SUMPRODUCT(($I$5:$I$69="")*($H$5:$H$69&lt;H30))+SUMPRODUCT((I$5:I30="")*($H$5:H30=H30)),"")</f>
        <v/>
      </c>
      <c r="X30" s="8" t="str">
        <f>IF(I30="",SUMPRODUCT(($I$5:$I$69="")*($H$5:$H$69&gt;H30))+SUMPRODUCT((I$5:I30="")*($H$5:H30=H30)),"")</f>
        <v/>
      </c>
      <c r="Y30" s="8">
        <f t="shared" si="4"/>
        <v>0</v>
      </c>
      <c r="Z30" s="8">
        <f t="shared" si="5"/>
        <v>0</v>
      </c>
      <c r="AA30" s="8" t="str">
        <f>IF(J30="",SUMPRODUCT(($J$5:$J$69="")*($H$5:$H$69&lt;H30))+SUMPRODUCT((J$5:J30="")*($H$5:H30=H30)),"")</f>
        <v/>
      </c>
      <c r="AB30" s="8" t="str">
        <f>IF(J30="",SUMPRODUCT(($J$5:$J$69="")*($H$5:$H$69&gt;H30))+SUMPRODUCT((J$5:J30="")*($H$5:H30=H30)),"")</f>
        <v/>
      </c>
      <c r="AC30" s="8">
        <f t="shared" si="6"/>
        <v>0</v>
      </c>
      <c r="AD30" s="8">
        <f t="shared" si="7"/>
        <v>0</v>
      </c>
      <c r="AE30" s="8" t="str">
        <f>IF(K30="",SUMPRODUCT(($K$5:$K$69="")*($H$5:$H$69&lt;H30))+SUMPRODUCT((K$5:K30="")*($H$5:H30=H30)),"")</f>
        <v/>
      </c>
      <c r="AF30" s="8" t="str">
        <f>IF(K30="",SUMPRODUCT(($K$5:$K$69="")*($H$5:$H$69&gt;H30))+SUMPRODUCT((K$5:K30="")*($H$5:H30=H30)),"")</f>
        <v/>
      </c>
      <c r="AG30" s="8">
        <f t="shared" si="8"/>
        <v>0</v>
      </c>
      <c r="AH30" s="8">
        <f t="shared" si="9"/>
        <v>0</v>
      </c>
    </row>
    <row r="31" spans="1:34" ht="15" customHeight="1" x14ac:dyDescent="0.25">
      <c r="A31" s="8" t="s">
        <v>190</v>
      </c>
      <c r="B31" s="8" t="s">
        <v>191</v>
      </c>
      <c r="C31" s="8" t="s">
        <v>149</v>
      </c>
      <c r="D31" s="8" t="s">
        <v>161</v>
      </c>
      <c r="E31" s="8" t="s">
        <v>128</v>
      </c>
      <c r="F31" s="16">
        <v>24687</v>
      </c>
      <c r="H31" s="13">
        <f t="shared" si="0"/>
        <v>24687</v>
      </c>
      <c r="I31" s="26"/>
      <c r="J31" s="26"/>
      <c r="K31" s="26"/>
      <c r="L31" s="8" t="s">
        <v>304</v>
      </c>
      <c r="M31" s="14">
        <f>Y31*Resumen!$C$6+AC31*Resumen!$C$7+AG31*Resumen!$C$9</f>
        <v>1</v>
      </c>
      <c r="N31" s="14">
        <f>Z31*Resumen!$C$6+AD31*Resumen!$C$7+AH31*Resumen!$C$9</f>
        <v>1</v>
      </c>
      <c r="O31" s="13">
        <f t="shared" si="1"/>
        <v>24687</v>
      </c>
      <c r="P31" s="13">
        <f t="shared" si="2"/>
        <v>24687</v>
      </c>
      <c r="Q31" s="27"/>
      <c r="R31" s="27"/>
      <c r="S31" s="27"/>
      <c r="T31" s="28"/>
      <c r="U31" s="13">
        <f>H31*((Q31="Oficial")*Resumen!$C$6+(R31="Oficial")*Resumen!$C$7+(S31="Oficial")*Resumen!$C$9)</f>
        <v>0</v>
      </c>
      <c r="V31" s="8" t="str">
        <f t="shared" si="3"/>
        <v>Sin evidencia municipal</v>
      </c>
      <c r="W31" s="8">
        <f>IF(I31="",SUMPRODUCT(($I$5:$I$69="")*($H$5:$H$69&lt;H31))+SUMPRODUCT((I$5:I31="")*($H$5:H31=H31)),"")</f>
        <v>7</v>
      </c>
      <c r="X31" s="8">
        <f>IF(I31="",SUMPRODUCT(($I$5:$I$69="")*($H$5:$H$69&gt;H31))+SUMPRODUCT((I$5:I31="")*($H$5:H31=H31)),"")</f>
        <v>22</v>
      </c>
      <c r="Y31" s="8">
        <f t="shared" si="4"/>
        <v>1</v>
      </c>
      <c r="Z31" s="8">
        <f t="shared" si="5"/>
        <v>1</v>
      </c>
      <c r="AA31" s="8">
        <f>IF(J31="",SUMPRODUCT(($J$5:$J$69="")*($H$5:$H$69&lt;H31))+SUMPRODUCT((J$5:J31="")*($H$5:H31=H31)),"")</f>
        <v>7</v>
      </c>
      <c r="AB31" s="8">
        <f>IF(J31="",SUMPRODUCT(($J$5:$J$69="")*($H$5:$H$69&gt;H31))+SUMPRODUCT((J$5:J31="")*($H$5:H31=H31)),"")</f>
        <v>23</v>
      </c>
      <c r="AC31" s="8">
        <f t="shared" si="6"/>
        <v>1</v>
      </c>
      <c r="AD31" s="8">
        <f t="shared" si="7"/>
        <v>1</v>
      </c>
      <c r="AE31" s="8">
        <f>IF(K31="",SUMPRODUCT(($K$5:$K$69="")*($H$5:$H$69&lt;H31))+SUMPRODUCT((K$5:K31="")*($H$5:H31=H31)),"")</f>
        <v>6</v>
      </c>
      <c r="AF31" s="8">
        <f>IF(K31="",SUMPRODUCT(($K$5:$K$69="")*($H$5:$H$69&gt;H31))+SUMPRODUCT((K$5:K31="")*($H$5:H31=H31)),"")</f>
        <v>25</v>
      </c>
      <c r="AG31" s="8">
        <f t="shared" si="8"/>
        <v>1</v>
      </c>
      <c r="AH31" s="8">
        <f t="shared" si="9"/>
        <v>1</v>
      </c>
    </row>
    <row r="32" spans="1:34" ht="35.1" customHeight="1" x14ac:dyDescent="0.25">
      <c r="A32" s="8" t="s">
        <v>192</v>
      </c>
      <c r="B32" s="8" t="s">
        <v>193</v>
      </c>
      <c r="C32" s="8" t="s">
        <v>138</v>
      </c>
      <c r="D32" s="8" t="s">
        <v>161</v>
      </c>
      <c r="E32" s="8" t="s">
        <v>128</v>
      </c>
      <c r="F32" s="16">
        <v>21414</v>
      </c>
      <c r="G32" s="16">
        <v>21413.54</v>
      </c>
      <c r="H32" s="13">
        <f t="shared" si="0"/>
        <v>21413.54</v>
      </c>
      <c r="I32" s="21">
        <v>1</v>
      </c>
      <c r="J32" s="21">
        <v>1</v>
      </c>
      <c r="K32" s="21">
        <v>1</v>
      </c>
      <c r="L32" s="8" t="s">
        <v>340</v>
      </c>
      <c r="M32" s="14">
        <f>Y32*Resumen!$C$6+AC32*Resumen!$C$7+AG32*Resumen!$C$9</f>
        <v>1</v>
      </c>
      <c r="N32" s="14">
        <f>Z32*Resumen!$C$6+AD32*Resumen!$C$7+AH32*Resumen!$C$9</f>
        <v>1</v>
      </c>
      <c r="O32" s="13">
        <f t="shared" si="1"/>
        <v>21413.54</v>
      </c>
      <c r="P32" s="13">
        <f t="shared" si="2"/>
        <v>21413.54</v>
      </c>
      <c r="Q32" s="21" t="s">
        <v>341</v>
      </c>
      <c r="R32" s="21" t="s">
        <v>341</v>
      </c>
      <c r="S32" s="21" t="s">
        <v>341</v>
      </c>
      <c r="T32" s="28"/>
      <c r="U32" s="13">
        <f>H32*((Q32="Oficial")*Resumen!$C$6+(R32="Oficial")*Resumen!$C$7+(S32="Oficial")*Resumen!$C$9)</f>
        <v>0</v>
      </c>
      <c r="V32" s="8" t="str">
        <f t="shared" si="3"/>
        <v>Con entregas verificadas</v>
      </c>
      <c r="W32" s="8" t="str">
        <f>IF(I32="",SUMPRODUCT(($I$5:$I$69="")*($H$5:$H$69&lt;H32))+SUMPRODUCT((I$5:I32="")*($H$5:H32=H32)),"")</f>
        <v/>
      </c>
      <c r="X32" s="8" t="str">
        <f>IF(I32="",SUMPRODUCT(($I$5:$I$69="")*($H$5:$H$69&gt;H32))+SUMPRODUCT((I$5:I32="")*($H$5:H32=H32)),"")</f>
        <v/>
      </c>
      <c r="Y32" s="8">
        <f t="shared" si="4"/>
        <v>1</v>
      </c>
      <c r="Z32" s="8">
        <f t="shared" si="5"/>
        <v>1</v>
      </c>
      <c r="AA32" s="8" t="str">
        <f>IF(J32="",SUMPRODUCT(($J$5:$J$69="")*($H$5:$H$69&lt;H32))+SUMPRODUCT((J$5:J32="")*($H$5:H32=H32)),"")</f>
        <v/>
      </c>
      <c r="AB32" s="8" t="str">
        <f>IF(J32="",SUMPRODUCT(($J$5:$J$69="")*($H$5:$H$69&gt;H32))+SUMPRODUCT((J$5:J32="")*($H$5:H32=H32)),"")</f>
        <v/>
      </c>
      <c r="AC32" s="8">
        <f t="shared" si="6"/>
        <v>1</v>
      </c>
      <c r="AD32" s="8">
        <f t="shared" si="7"/>
        <v>1</v>
      </c>
      <c r="AE32" s="8" t="str">
        <f>IF(K32="",SUMPRODUCT(($K$5:$K$69="")*($H$5:$H$69&lt;H32))+SUMPRODUCT((K$5:K32="")*($H$5:H32=H32)),"")</f>
        <v/>
      </c>
      <c r="AF32" s="8" t="str">
        <f>IF(K32="",SUMPRODUCT(($K$5:$K$69="")*($H$5:$H$69&gt;H32))+SUMPRODUCT((K$5:K32="")*($H$5:H32=H32)),"")</f>
        <v/>
      </c>
      <c r="AG32" s="8">
        <f t="shared" si="8"/>
        <v>1</v>
      </c>
      <c r="AH32" s="8">
        <f t="shared" si="9"/>
        <v>1</v>
      </c>
    </row>
    <row r="33" spans="1:34" ht="35.1" customHeight="1" x14ac:dyDescent="0.25">
      <c r="A33" s="8" t="s">
        <v>194</v>
      </c>
      <c r="B33" s="8" t="s">
        <v>195</v>
      </c>
      <c r="C33" s="8" t="s">
        <v>149</v>
      </c>
      <c r="D33" s="8" t="s">
        <v>161</v>
      </c>
      <c r="E33" s="8" t="s">
        <v>128</v>
      </c>
      <c r="F33" s="16">
        <v>142539</v>
      </c>
      <c r="H33" s="13">
        <f t="shared" si="0"/>
        <v>142539</v>
      </c>
      <c r="I33" s="21">
        <v>0</v>
      </c>
      <c r="J33" s="21">
        <v>0</v>
      </c>
      <c r="K33" s="21">
        <v>0</v>
      </c>
      <c r="L33" s="8" t="s">
        <v>353</v>
      </c>
      <c r="M33" s="14">
        <f>Y33*Resumen!$C$6+AC33*Resumen!$C$7+AG33*Resumen!$C$9</f>
        <v>0</v>
      </c>
      <c r="N33" s="14">
        <f>Z33*Resumen!$C$6+AD33*Resumen!$C$7+AH33*Resumen!$C$9</f>
        <v>0</v>
      </c>
      <c r="O33" s="13">
        <f t="shared" si="1"/>
        <v>0</v>
      </c>
      <c r="P33" s="13">
        <f t="shared" si="2"/>
        <v>0</v>
      </c>
      <c r="Q33" s="27"/>
      <c r="R33" s="27"/>
      <c r="S33" s="27"/>
      <c r="T33" s="8" t="s">
        <v>355</v>
      </c>
      <c r="U33" s="13">
        <f>H33*((Q33="Oficial")*Resumen!$C$6+(R33="Oficial")*Resumen!$C$7+(S33="Oficial")*Resumen!$C$9)</f>
        <v>0</v>
      </c>
      <c r="V33" s="8" t="str">
        <f t="shared" si="3"/>
        <v>Sin entregas</v>
      </c>
      <c r="W33" s="8" t="str">
        <f>IF(I33="",SUMPRODUCT(($I$5:$I$69="")*($H$5:$H$69&lt;H33))+SUMPRODUCT((I$5:I33="")*($H$5:H33=H33)),"")</f>
        <v/>
      </c>
      <c r="X33" s="8" t="str">
        <f>IF(I33="",SUMPRODUCT(($I$5:$I$69="")*($H$5:$H$69&gt;H33))+SUMPRODUCT((I$5:I33="")*($H$5:H33=H33)),"")</f>
        <v/>
      </c>
      <c r="Y33" s="8">
        <f t="shared" si="4"/>
        <v>0</v>
      </c>
      <c r="Z33" s="8">
        <f t="shared" si="5"/>
        <v>0</v>
      </c>
      <c r="AA33" s="8" t="str">
        <f>IF(J33="",SUMPRODUCT(($J$5:$J$69="")*($H$5:$H$69&lt;H33))+SUMPRODUCT((J$5:J33="")*($H$5:H33=H33)),"")</f>
        <v/>
      </c>
      <c r="AB33" s="8" t="str">
        <f>IF(J33="",SUMPRODUCT(($J$5:$J$69="")*($H$5:$H$69&gt;H33))+SUMPRODUCT((J$5:J33="")*($H$5:H33=H33)),"")</f>
        <v/>
      </c>
      <c r="AC33" s="8">
        <f t="shared" si="6"/>
        <v>0</v>
      </c>
      <c r="AD33" s="8">
        <f t="shared" si="7"/>
        <v>0</v>
      </c>
      <c r="AE33" s="8" t="str">
        <f>IF(K33="",SUMPRODUCT(($K$5:$K$69="")*($H$5:$H$69&lt;H33))+SUMPRODUCT((K$5:K33="")*($H$5:H33=H33)),"")</f>
        <v/>
      </c>
      <c r="AF33" s="8" t="str">
        <f>IF(K33="",SUMPRODUCT(($K$5:$K$69="")*($H$5:$H$69&gt;H33))+SUMPRODUCT((K$5:K33="")*($H$5:H33=H33)),"")</f>
        <v/>
      </c>
      <c r="AG33" s="8">
        <f t="shared" si="8"/>
        <v>0</v>
      </c>
      <c r="AH33" s="8">
        <f t="shared" si="9"/>
        <v>0</v>
      </c>
    </row>
    <row r="34" spans="1:34" ht="23.85" customHeight="1" x14ac:dyDescent="0.25">
      <c r="A34" s="8" t="s">
        <v>196</v>
      </c>
      <c r="B34" s="8" t="s">
        <v>197</v>
      </c>
      <c r="C34" s="8" t="s">
        <v>149</v>
      </c>
      <c r="D34" s="8" t="s">
        <v>161</v>
      </c>
      <c r="E34" s="8" t="s">
        <v>128</v>
      </c>
      <c r="F34" s="16">
        <v>9349</v>
      </c>
      <c r="H34" s="13">
        <f t="shared" si="0"/>
        <v>9349</v>
      </c>
      <c r="I34" s="21">
        <v>1</v>
      </c>
      <c r="J34" s="21">
        <v>1</v>
      </c>
      <c r="K34" s="21">
        <v>1</v>
      </c>
      <c r="L34" s="8" t="s">
        <v>351</v>
      </c>
      <c r="M34" s="14">
        <f>Y34*Resumen!$C$6+AC34*Resumen!$C$7+AG34*Resumen!$C$9</f>
        <v>1</v>
      </c>
      <c r="N34" s="14">
        <f>Z34*Resumen!$C$6+AD34*Resumen!$C$7+AH34*Resumen!$C$9</f>
        <v>1</v>
      </c>
      <c r="O34" s="13">
        <f t="shared" si="1"/>
        <v>9349</v>
      </c>
      <c r="P34" s="13">
        <f t="shared" si="2"/>
        <v>9349</v>
      </c>
      <c r="Q34" s="21" t="s">
        <v>345</v>
      </c>
      <c r="R34" s="21" t="s">
        <v>341</v>
      </c>
      <c r="S34" s="21" t="s">
        <v>341</v>
      </c>
      <c r="T34" s="28"/>
      <c r="U34" s="13">
        <f>H34*((Q34="Oficial")*Resumen!$C$6+(R34="Oficial")*Resumen!$C$7+(S34="Oficial")*Resumen!$C$9)</f>
        <v>4207.05</v>
      </c>
      <c r="V34" s="8" t="str">
        <f t="shared" si="3"/>
        <v>Con entregas verificadas</v>
      </c>
      <c r="W34" s="8" t="str">
        <f>IF(I34="",SUMPRODUCT(($I$5:$I$69="")*($H$5:$H$69&lt;H34))+SUMPRODUCT((I$5:I34="")*($H$5:H34=H34)),"")</f>
        <v/>
      </c>
      <c r="X34" s="8" t="str">
        <f>IF(I34="",SUMPRODUCT(($I$5:$I$69="")*($H$5:$H$69&gt;H34))+SUMPRODUCT((I$5:I34="")*($H$5:H34=H34)),"")</f>
        <v/>
      </c>
      <c r="Y34" s="8">
        <f t="shared" si="4"/>
        <v>1</v>
      </c>
      <c r="Z34" s="8">
        <f t="shared" si="5"/>
        <v>1</v>
      </c>
      <c r="AA34" s="8" t="str">
        <f>IF(J34="",SUMPRODUCT(($J$5:$J$69="")*($H$5:$H$69&lt;H34))+SUMPRODUCT((J$5:J34="")*($H$5:H34=H34)),"")</f>
        <v/>
      </c>
      <c r="AB34" s="8" t="str">
        <f>IF(J34="",SUMPRODUCT(($J$5:$J$69="")*($H$5:$H$69&gt;H34))+SUMPRODUCT((J$5:J34="")*($H$5:H34=H34)),"")</f>
        <v/>
      </c>
      <c r="AC34" s="8">
        <f t="shared" si="6"/>
        <v>1</v>
      </c>
      <c r="AD34" s="8">
        <f t="shared" si="7"/>
        <v>1</v>
      </c>
      <c r="AE34" s="8" t="str">
        <f>IF(K34="",SUMPRODUCT(($K$5:$K$69="")*($H$5:$H$69&lt;H34))+SUMPRODUCT((K$5:K34="")*($H$5:H34=H34)),"")</f>
        <v/>
      </c>
      <c r="AF34" s="8" t="str">
        <f>IF(K34="",SUMPRODUCT(($K$5:$K$69="")*($H$5:$H$69&gt;H34))+SUMPRODUCT((K$5:K34="")*($H$5:H34=H34)),"")</f>
        <v/>
      </c>
      <c r="AG34" s="8">
        <f t="shared" si="8"/>
        <v>1</v>
      </c>
      <c r="AH34" s="8">
        <f t="shared" si="9"/>
        <v>1</v>
      </c>
    </row>
    <row r="35" spans="1:34" ht="23.85" customHeight="1" x14ac:dyDescent="0.25">
      <c r="A35" s="8" t="s">
        <v>198</v>
      </c>
      <c r="B35" s="8" t="s">
        <v>199</v>
      </c>
      <c r="C35" s="8" t="s">
        <v>138</v>
      </c>
      <c r="D35" s="8" t="s">
        <v>161</v>
      </c>
      <c r="E35" s="8" t="s">
        <v>128</v>
      </c>
      <c r="F35" s="16">
        <v>11825</v>
      </c>
      <c r="H35" s="13">
        <f t="shared" si="0"/>
        <v>11825</v>
      </c>
      <c r="I35" s="21">
        <v>1</v>
      </c>
      <c r="J35" s="21">
        <v>1</v>
      </c>
      <c r="K35" s="21">
        <v>1</v>
      </c>
      <c r="L35" s="8" t="s">
        <v>351</v>
      </c>
      <c r="M35" s="14">
        <f>Y35*Resumen!$C$6+AC35*Resumen!$C$7+AG35*Resumen!$C$9</f>
        <v>1</v>
      </c>
      <c r="N35" s="14">
        <f>Z35*Resumen!$C$6+AD35*Resumen!$C$7+AH35*Resumen!$C$9</f>
        <v>1</v>
      </c>
      <c r="O35" s="13">
        <f t="shared" si="1"/>
        <v>11825</v>
      </c>
      <c r="P35" s="13">
        <f t="shared" si="2"/>
        <v>11825</v>
      </c>
      <c r="Q35" s="21" t="s">
        <v>345</v>
      </c>
      <c r="R35" s="21" t="s">
        <v>341</v>
      </c>
      <c r="S35" s="21" t="s">
        <v>341</v>
      </c>
      <c r="T35" s="28"/>
      <c r="U35" s="13">
        <f>H35*((Q35="Oficial")*Resumen!$C$6+(R35="Oficial")*Resumen!$C$7+(S35="Oficial")*Resumen!$C$9)</f>
        <v>5321.25</v>
      </c>
      <c r="V35" s="8" t="str">
        <f t="shared" si="3"/>
        <v>Con entregas verificadas</v>
      </c>
      <c r="W35" s="8" t="str">
        <f>IF(I35="",SUMPRODUCT(($I$5:$I$69="")*($H$5:$H$69&lt;H35))+SUMPRODUCT((I$5:I35="")*($H$5:H35=H35)),"")</f>
        <v/>
      </c>
      <c r="X35" s="8" t="str">
        <f>IF(I35="",SUMPRODUCT(($I$5:$I$69="")*($H$5:$H$69&gt;H35))+SUMPRODUCT((I$5:I35="")*($H$5:H35=H35)),"")</f>
        <v/>
      </c>
      <c r="Y35" s="8">
        <f t="shared" si="4"/>
        <v>1</v>
      </c>
      <c r="Z35" s="8">
        <f t="shared" si="5"/>
        <v>1</v>
      </c>
      <c r="AA35" s="8" t="str">
        <f>IF(J35="",SUMPRODUCT(($J$5:$J$69="")*($H$5:$H$69&lt;H35))+SUMPRODUCT((J$5:J35="")*($H$5:H35=H35)),"")</f>
        <v/>
      </c>
      <c r="AB35" s="8" t="str">
        <f>IF(J35="",SUMPRODUCT(($J$5:$J$69="")*($H$5:$H$69&gt;H35))+SUMPRODUCT((J$5:J35="")*($H$5:H35=H35)),"")</f>
        <v/>
      </c>
      <c r="AC35" s="8">
        <f t="shared" si="6"/>
        <v>1</v>
      </c>
      <c r="AD35" s="8">
        <f t="shared" si="7"/>
        <v>1</v>
      </c>
      <c r="AE35" s="8" t="str">
        <f>IF(K35="",SUMPRODUCT(($K$5:$K$69="")*($H$5:$H$69&lt;H35))+SUMPRODUCT((K$5:K35="")*($H$5:H35=H35)),"")</f>
        <v/>
      </c>
      <c r="AF35" s="8" t="str">
        <f>IF(K35="",SUMPRODUCT(($K$5:$K$69="")*($H$5:$H$69&gt;H35))+SUMPRODUCT((K$5:K35="")*($H$5:H35=H35)),"")</f>
        <v/>
      </c>
      <c r="AG35" s="8">
        <f t="shared" si="8"/>
        <v>1</v>
      </c>
      <c r="AH35" s="8">
        <f t="shared" si="9"/>
        <v>1</v>
      </c>
    </row>
    <row r="36" spans="1:34" ht="15" customHeight="1" x14ac:dyDescent="0.25">
      <c r="A36" s="8" t="s">
        <v>200</v>
      </c>
      <c r="B36" s="8" t="s">
        <v>201</v>
      </c>
      <c r="C36" s="8" t="s">
        <v>149</v>
      </c>
      <c r="D36" s="8" t="s">
        <v>161</v>
      </c>
      <c r="E36" s="8" t="s">
        <v>128</v>
      </c>
      <c r="F36" s="16">
        <v>11493</v>
      </c>
      <c r="H36" s="13">
        <f t="shared" si="0"/>
        <v>11493</v>
      </c>
      <c r="I36" s="26"/>
      <c r="J36" s="26"/>
      <c r="K36" s="26"/>
      <c r="L36" s="8" t="s">
        <v>304</v>
      </c>
      <c r="M36" s="14">
        <f>Y36*Resumen!$C$6+AC36*Resumen!$C$7+AG36*Resumen!$C$9</f>
        <v>1</v>
      </c>
      <c r="N36" s="14">
        <f>Z36*Resumen!$C$6+AD36*Resumen!$C$7+AH36*Resumen!$C$9</f>
        <v>0</v>
      </c>
      <c r="O36" s="13">
        <f t="shared" si="1"/>
        <v>11493</v>
      </c>
      <c r="P36" s="13">
        <f t="shared" si="2"/>
        <v>0</v>
      </c>
      <c r="Q36" s="27"/>
      <c r="R36" s="27"/>
      <c r="S36" s="27"/>
      <c r="T36" s="28"/>
      <c r="U36" s="13">
        <f>H36*((Q36="Oficial")*Resumen!$C$6+(R36="Oficial")*Resumen!$C$7+(S36="Oficial")*Resumen!$C$9)</f>
        <v>0</v>
      </c>
      <c r="V36" s="8" t="str">
        <f t="shared" si="3"/>
        <v>Sin evidencia municipal</v>
      </c>
      <c r="W36" s="8">
        <f>IF(I36="",SUMPRODUCT(($I$5:$I$69="")*($H$5:$H$69&lt;H36))+SUMPRODUCT((I$5:I36="")*($H$5:H36=H36)),"")</f>
        <v>1</v>
      </c>
      <c r="X36" s="8">
        <f>IF(I36="",SUMPRODUCT(($I$5:$I$69="")*($H$5:$H$69&gt;H36))+SUMPRODUCT((I$5:I36="")*($H$5:H36=H36)),"")</f>
        <v>28</v>
      </c>
      <c r="Y36" s="8">
        <f t="shared" si="4"/>
        <v>1</v>
      </c>
      <c r="Z36" s="8">
        <f t="shared" si="5"/>
        <v>0</v>
      </c>
      <c r="AA36" s="8">
        <f>IF(J36="",SUMPRODUCT(($J$5:$J$69="")*($H$5:$H$69&lt;H36))+SUMPRODUCT((J$5:J36="")*($H$5:H36=H36)),"")</f>
        <v>1</v>
      </c>
      <c r="AB36" s="8">
        <f>IF(J36="",SUMPRODUCT(($J$5:$J$69="")*($H$5:$H$69&gt;H36))+SUMPRODUCT((J$5:J36="")*($H$5:H36=H36)),"")</f>
        <v>29</v>
      </c>
      <c r="AC36" s="8">
        <f t="shared" si="6"/>
        <v>1</v>
      </c>
      <c r="AD36" s="8">
        <f t="shared" si="7"/>
        <v>0</v>
      </c>
      <c r="AE36" s="8">
        <f>IF(K36="",SUMPRODUCT(($K$5:$K$69="")*($H$5:$H$69&lt;H36))+SUMPRODUCT((K$5:K36="")*($H$5:H36=H36)),"")</f>
        <v>1</v>
      </c>
      <c r="AF36" s="8">
        <f>IF(K36="",SUMPRODUCT(($K$5:$K$69="")*($H$5:$H$69&gt;H36))+SUMPRODUCT((K$5:K36="")*($H$5:H36=H36)),"")</f>
        <v>30</v>
      </c>
      <c r="AG36" s="8">
        <f t="shared" si="8"/>
        <v>1</v>
      </c>
      <c r="AH36" s="8">
        <f t="shared" si="9"/>
        <v>0</v>
      </c>
    </row>
    <row r="37" spans="1:34" ht="15" customHeight="1" x14ac:dyDescent="0.25">
      <c r="A37" s="8" t="s">
        <v>202</v>
      </c>
      <c r="B37" s="8" t="s">
        <v>203</v>
      </c>
      <c r="C37" s="8" t="s">
        <v>149</v>
      </c>
      <c r="D37" s="8" t="s">
        <v>161</v>
      </c>
      <c r="E37" s="8" t="s">
        <v>128</v>
      </c>
      <c r="F37" s="16">
        <v>21639</v>
      </c>
      <c r="H37" s="13">
        <f t="shared" ref="H37:H68" si="10">IF(G37="",F37,G37)</f>
        <v>21639</v>
      </c>
      <c r="I37" s="26"/>
      <c r="J37" s="26"/>
      <c r="K37" s="26"/>
      <c r="L37" s="8" t="s">
        <v>304</v>
      </c>
      <c r="M37" s="14">
        <f>Y37*Resumen!$C$6+AC37*Resumen!$C$7+AG37*Resumen!$C$9</f>
        <v>1</v>
      </c>
      <c r="N37" s="14">
        <f>Z37*Resumen!$C$6+AD37*Resumen!$C$7+AH37*Resumen!$C$9</f>
        <v>1</v>
      </c>
      <c r="O37" s="13">
        <f t="shared" ref="O37:O69" si="11">H37*M37</f>
        <v>21639</v>
      </c>
      <c r="P37" s="13">
        <f t="shared" ref="P37:P69" si="12">H37*N37</f>
        <v>21639</v>
      </c>
      <c r="Q37" s="27"/>
      <c r="R37" s="27"/>
      <c r="S37" s="27"/>
      <c r="T37" s="28"/>
      <c r="U37" s="13">
        <f>H37*((Q37="Oficial")*Resumen!$C$6+(R37="Oficial")*Resumen!$C$7+(S37="Oficial")*Resumen!$C$9)</f>
        <v>0</v>
      </c>
      <c r="V37" s="8" t="str">
        <f t="shared" ref="V37:V69" si="13">IF(COUNTIF(I37:K37,1)&gt;0,"Con entregas verificadas",IF(COUNTBLANK(I37:K37)&gt;0,"Sin evidencia municipal","Sin entregas"))</f>
        <v>Sin evidencia municipal</v>
      </c>
      <c r="W37" s="8">
        <f>IF(I37="",SUMPRODUCT(($I$5:$I$69="")*($H$5:$H$69&lt;H37))+SUMPRODUCT((I$5:I37="")*($H$5:H37=H37)),"")</f>
        <v>6</v>
      </c>
      <c r="X37" s="8">
        <f>IF(I37="",SUMPRODUCT(($I$5:$I$69="")*($H$5:$H$69&gt;H37))+SUMPRODUCT((I$5:I37="")*($H$5:H37=H37)),"")</f>
        <v>23</v>
      </c>
      <c r="Y37" s="8">
        <f t="shared" ref="Y37:Y69" si="14">IF(I37="",IF(W37&lt;=$I$73,1,0),I37)</f>
        <v>1</v>
      </c>
      <c r="Z37" s="8">
        <f t="shared" ref="Z37:Z69" si="15">IF(I37="",IF(X37&lt;=$I$73,1,0),I37)</f>
        <v>1</v>
      </c>
      <c r="AA37" s="8">
        <f>IF(J37="",SUMPRODUCT(($J$5:$J$69="")*($H$5:$H$69&lt;H37))+SUMPRODUCT((J$5:J37="")*($H$5:H37=H37)),"")</f>
        <v>6</v>
      </c>
      <c r="AB37" s="8">
        <f>IF(J37="",SUMPRODUCT(($J$5:$J$69="")*($H$5:$H$69&gt;H37))+SUMPRODUCT((J$5:J37="")*($H$5:H37=H37)),"")</f>
        <v>24</v>
      </c>
      <c r="AC37" s="8">
        <f t="shared" ref="AC37:AC69" si="16">IF(J37="",IF(AA37&lt;=$J$73,1,0),J37)</f>
        <v>1</v>
      </c>
      <c r="AD37" s="8">
        <f t="shared" ref="AD37:AD69" si="17">IF(J37="",IF(AB37&lt;=$J$73,1,0),J37)</f>
        <v>1</v>
      </c>
      <c r="AE37" s="8">
        <f>IF(K37="",SUMPRODUCT(($K$5:$K$69="")*($H$5:$H$69&lt;H37))+SUMPRODUCT((K$5:K37="")*($H$5:H37=H37)),"")</f>
        <v>5</v>
      </c>
      <c r="AF37" s="8">
        <f>IF(K37="",SUMPRODUCT(($K$5:$K$69="")*($H$5:$H$69&gt;H37))+SUMPRODUCT((K$5:K37="")*($H$5:H37=H37)),"")</f>
        <v>26</v>
      </c>
      <c r="AG37" s="8">
        <f t="shared" ref="AG37:AG69" si="18">IF(K37="",IF(AE37&lt;=$K$73,1,0),K37)</f>
        <v>1</v>
      </c>
      <c r="AH37" s="8">
        <f t="shared" ref="AH37:AH69" si="19">IF(K37="",IF(AF37&lt;=$K$73,1,0),K37)</f>
        <v>1</v>
      </c>
    </row>
    <row r="38" spans="1:34" ht="15" customHeight="1" x14ac:dyDescent="0.25">
      <c r="A38" s="8" t="s">
        <v>204</v>
      </c>
      <c r="B38" s="8" t="s">
        <v>205</v>
      </c>
      <c r="C38" s="8" t="s">
        <v>177</v>
      </c>
      <c r="D38" s="8" t="s">
        <v>161</v>
      </c>
      <c r="E38" s="8" t="s">
        <v>128</v>
      </c>
      <c r="F38" s="16">
        <v>45529</v>
      </c>
      <c r="H38" s="13">
        <f t="shared" si="10"/>
        <v>45529</v>
      </c>
      <c r="I38" s="26"/>
      <c r="J38" s="26"/>
      <c r="K38" s="21">
        <v>1</v>
      </c>
      <c r="L38" s="8" t="s">
        <v>342</v>
      </c>
      <c r="M38" s="14">
        <f>Y38*Resumen!$C$6+AC38*Resumen!$C$7+AG38*Resumen!$C$9</f>
        <v>1</v>
      </c>
      <c r="N38" s="14">
        <f>Z38*Resumen!$C$6+AD38*Resumen!$C$7+AH38*Resumen!$C$9</f>
        <v>1</v>
      </c>
      <c r="O38" s="13">
        <f t="shared" si="11"/>
        <v>45529</v>
      </c>
      <c r="P38" s="13">
        <f t="shared" si="12"/>
        <v>45529</v>
      </c>
      <c r="Q38" s="27"/>
      <c r="R38" s="27"/>
      <c r="S38" s="21" t="s">
        <v>343</v>
      </c>
      <c r="T38" s="28"/>
      <c r="U38" s="13">
        <f>H38*((Q38="Oficial")*Resumen!$C$6+(R38="Oficial")*Resumen!$C$7+(S38="Oficial")*Resumen!$C$9)</f>
        <v>0</v>
      </c>
      <c r="V38" s="8" t="str">
        <f t="shared" si="13"/>
        <v>Con entregas verificadas</v>
      </c>
      <c r="W38" s="8">
        <f>IF(I38="",SUMPRODUCT(($I$5:$I$69="")*($H$5:$H$69&lt;H38))+SUMPRODUCT((I$5:I38="")*($H$5:H38=H38)),"")</f>
        <v>21</v>
      </c>
      <c r="X38" s="8">
        <f>IF(I38="",SUMPRODUCT(($I$5:$I$69="")*($H$5:$H$69&gt;H38))+SUMPRODUCT((I$5:I38="")*($H$5:H38=H38)),"")</f>
        <v>8</v>
      </c>
      <c r="Y38" s="8">
        <f t="shared" si="14"/>
        <v>1</v>
      </c>
      <c r="Z38" s="8">
        <f t="shared" si="15"/>
        <v>1</v>
      </c>
      <c r="AA38" s="8">
        <f>IF(J38="",SUMPRODUCT(($J$5:$J$69="")*($H$5:$H$69&lt;H38))+SUMPRODUCT((J$5:J38="")*($H$5:H38=H38)),"")</f>
        <v>21</v>
      </c>
      <c r="AB38" s="8">
        <f>IF(J38="",SUMPRODUCT(($J$5:$J$69="")*($H$5:$H$69&gt;H38))+SUMPRODUCT((J$5:J38="")*($H$5:H38=H38)),"")</f>
        <v>9</v>
      </c>
      <c r="AC38" s="8">
        <f t="shared" si="16"/>
        <v>1</v>
      </c>
      <c r="AD38" s="8">
        <f t="shared" si="17"/>
        <v>1</v>
      </c>
      <c r="AE38" s="8" t="str">
        <f>IF(K38="",SUMPRODUCT(($K$5:$K$69="")*($H$5:$H$69&lt;H38))+SUMPRODUCT((K$5:K38="")*($H$5:H38=H38)),"")</f>
        <v/>
      </c>
      <c r="AF38" s="8" t="str">
        <f>IF(K38="",SUMPRODUCT(($K$5:$K$69="")*($H$5:$H$69&gt;H38))+SUMPRODUCT((K$5:K38="")*($H$5:H38=H38)),"")</f>
        <v/>
      </c>
      <c r="AG38" s="8">
        <f t="shared" si="18"/>
        <v>1</v>
      </c>
      <c r="AH38" s="8">
        <f t="shared" si="19"/>
        <v>1</v>
      </c>
    </row>
    <row r="39" spans="1:34" ht="35.1" customHeight="1" x14ac:dyDescent="0.25">
      <c r="A39" s="8" t="s">
        <v>206</v>
      </c>
      <c r="B39" s="8" t="s">
        <v>207</v>
      </c>
      <c r="C39" s="8" t="s">
        <v>185</v>
      </c>
      <c r="D39" s="8" t="s">
        <v>161</v>
      </c>
      <c r="E39" s="8" t="s">
        <v>128</v>
      </c>
      <c r="F39" s="16">
        <v>109140</v>
      </c>
      <c r="H39" s="13">
        <f t="shared" si="10"/>
        <v>109140</v>
      </c>
      <c r="I39" s="21">
        <v>0</v>
      </c>
      <c r="J39" s="21">
        <v>0</v>
      </c>
      <c r="K39" s="21">
        <v>0</v>
      </c>
      <c r="L39" s="8" t="s">
        <v>353</v>
      </c>
      <c r="M39" s="14">
        <f>Y39*Resumen!$C$6+AC39*Resumen!$C$7+AG39*Resumen!$C$9</f>
        <v>0</v>
      </c>
      <c r="N39" s="14">
        <f>Z39*Resumen!$C$6+AD39*Resumen!$C$7+AH39*Resumen!$C$9</f>
        <v>0</v>
      </c>
      <c r="O39" s="13">
        <f t="shared" si="11"/>
        <v>0</v>
      </c>
      <c r="P39" s="13">
        <f t="shared" si="12"/>
        <v>0</v>
      </c>
      <c r="Q39" s="27"/>
      <c r="R39" s="27"/>
      <c r="S39" s="27"/>
      <c r="T39" s="8" t="s">
        <v>356</v>
      </c>
      <c r="U39" s="13">
        <f>H39*((Q39="Oficial")*Resumen!$C$6+(R39="Oficial")*Resumen!$C$7+(S39="Oficial")*Resumen!$C$9)</f>
        <v>0</v>
      </c>
      <c r="V39" s="8" t="str">
        <f t="shared" si="13"/>
        <v>Sin entregas</v>
      </c>
      <c r="W39" s="8" t="str">
        <f>IF(I39="",SUMPRODUCT(($I$5:$I$69="")*($H$5:$H$69&lt;H39))+SUMPRODUCT((I$5:I39="")*($H$5:H39=H39)),"")</f>
        <v/>
      </c>
      <c r="X39" s="8" t="str">
        <f>IF(I39="",SUMPRODUCT(($I$5:$I$69="")*($H$5:$H$69&gt;H39))+SUMPRODUCT((I$5:I39="")*($H$5:H39=H39)),"")</f>
        <v/>
      </c>
      <c r="Y39" s="8">
        <f t="shared" si="14"/>
        <v>0</v>
      </c>
      <c r="Z39" s="8">
        <f t="shared" si="15"/>
        <v>0</v>
      </c>
      <c r="AA39" s="8" t="str">
        <f>IF(J39="",SUMPRODUCT(($J$5:$J$69="")*($H$5:$H$69&lt;H39))+SUMPRODUCT((J$5:J39="")*($H$5:H39=H39)),"")</f>
        <v/>
      </c>
      <c r="AB39" s="8" t="str">
        <f>IF(J39="",SUMPRODUCT(($J$5:$J$69="")*($H$5:$H$69&gt;H39))+SUMPRODUCT((J$5:J39="")*($H$5:H39=H39)),"")</f>
        <v/>
      </c>
      <c r="AC39" s="8">
        <f t="shared" si="16"/>
        <v>0</v>
      </c>
      <c r="AD39" s="8">
        <f t="shared" si="17"/>
        <v>0</v>
      </c>
      <c r="AE39" s="8" t="str">
        <f>IF(K39="",SUMPRODUCT(($K$5:$K$69="")*($H$5:$H$69&lt;H39))+SUMPRODUCT((K$5:K39="")*($H$5:H39=H39)),"")</f>
        <v/>
      </c>
      <c r="AF39" s="8" t="str">
        <f>IF(K39="",SUMPRODUCT(($K$5:$K$69="")*($H$5:$H$69&gt;H39))+SUMPRODUCT((K$5:K39="")*($H$5:H39=H39)),"")</f>
        <v/>
      </c>
      <c r="AG39" s="8">
        <f t="shared" si="18"/>
        <v>0</v>
      </c>
      <c r="AH39" s="8">
        <f t="shared" si="19"/>
        <v>0</v>
      </c>
    </row>
    <row r="40" spans="1:34" ht="35.1" customHeight="1" x14ac:dyDescent="0.25">
      <c r="A40" s="8" t="s">
        <v>208</v>
      </c>
      <c r="B40" s="8" t="s">
        <v>209</v>
      </c>
      <c r="C40" s="8" t="s">
        <v>185</v>
      </c>
      <c r="D40" s="8" t="s">
        <v>161</v>
      </c>
      <c r="E40" s="8" t="s">
        <v>128</v>
      </c>
      <c r="F40" s="16">
        <v>126064</v>
      </c>
      <c r="G40" s="16">
        <v>126063.91</v>
      </c>
      <c r="H40" s="13">
        <f t="shared" si="10"/>
        <v>126063.91</v>
      </c>
      <c r="I40" s="21">
        <v>1</v>
      </c>
      <c r="J40" s="21">
        <v>1</v>
      </c>
      <c r="K40" s="21">
        <v>1</v>
      </c>
      <c r="L40" s="8" t="s">
        <v>344</v>
      </c>
      <c r="M40" s="14">
        <f>Y40*Resumen!$C$6+AC40*Resumen!$C$7+AG40*Resumen!$C$9</f>
        <v>1</v>
      </c>
      <c r="N40" s="14">
        <f>Z40*Resumen!$C$6+AD40*Resumen!$C$7+AH40*Resumen!$C$9</f>
        <v>1</v>
      </c>
      <c r="O40" s="13">
        <f t="shared" si="11"/>
        <v>126063.91</v>
      </c>
      <c r="P40" s="13">
        <f t="shared" si="12"/>
        <v>126063.91</v>
      </c>
      <c r="Q40" s="21" t="s">
        <v>345</v>
      </c>
      <c r="R40" s="21" t="s">
        <v>341</v>
      </c>
      <c r="S40" s="21" t="s">
        <v>343</v>
      </c>
      <c r="T40" s="28"/>
      <c r="U40" s="13">
        <f>H40*((Q40="Oficial")*Resumen!$C$6+(R40="Oficial")*Resumen!$C$7+(S40="Oficial")*Resumen!$C$9)</f>
        <v>56728.7595</v>
      </c>
      <c r="V40" s="8" t="str">
        <f t="shared" si="13"/>
        <v>Con entregas verificadas</v>
      </c>
      <c r="W40" s="8" t="str">
        <f>IF(I40="",SUMPRODUCT(($I$5:$I$69="")*($H$5:$H$69&lt;H40))+SUMPRODUCT((I$5:I40="")*($H$5:H40=H40)),"")</f>
        <v/>
      </c>
      <c r="X40" s="8" t="str">
        <f>IF(I40="",SUMPRODUCT(($I$5:$I$69="")*($H$5:$H$69&gt;H40))+SUMPRODUCT((I$5:I40="")*($H$5:H40=H40)),"")</f>
        <v/>
      </c>
      <c r="Y40" s="8">
        <f t="shared" si="14"/>
        <v>1</v>
      </c>
      <c r="Z40" s="8">
        <f t="shared" si="15"/>
        <v>1</v>
      </c>
      <c r="AA40" s="8" t="str">
        <f>IF(J40="",SUMPRODUCT(($J$5:$J$69="")*($H$5:$H$69&lt;H40))+SUMPRODUCT((J$5:J40="")*($H$5:H40=H40)),"")</f>
        <v/>
      </c>
      <c r="AB40" s="8" t="str">
        <f>IF(J40="",SUMPRODUCT(($J$5:$J$69="")*($H$5:$H$69&gt;H40))+SUMPRODUCT((J$5:J40="")*($H$5:H40=H40)),"")</f>
        <v/>
      </c>
      <c r="AC40" s="8">
        <f t="shared" si="16"/>
        <v>1</v>
      </c>
      <c r="AD40" s="8">
        <f t="shared" si="17"/>
        <v>1</v>
      </c>
      <c r="AE40" s="8" t="str">
        <f>IF(K40="",SUMPRODUCT(($K$5:$K$69="")*($H$5:$H$69&lt;H40))+SUMPRODUCT((K$5:K40="")*($H$5:H40=H40)),"")</f>
        <v/>
      </c>
      <c r="AF40" s="8" t="str">
        <f>IF(K40="",SUMPRODUCT(($K$5:$K$69="")*($H$5:$H$69&gt;H40))+SUMPRODUCT((K$5:K40="")*($H$5:H40=H40)),"")</f>
        <v/>
      </c>
      <c r="AG40" s="8">
        <f t="shared" si="18"/>
        <v>1</v>
      </c>
      <c r="AH40" s="8">
        <f t="shared" si="19"/>
        <v>1</v>
      </c>
    </row>
    <row r="41" spans="1:34" ht="35.1" customHeight="1" x14ac:dyDescent="0.25">
      <c r="A41" s="8" t="s">
        <v>210</v>
      </c>
      <c r="B41" s="8" t="s">
        <v>211</v>
      </c>
      <c r="C41" s="8" t="s">
        <v>149</v>
      </c>
      <c r="D41" s="8" t="s">
        <v>161</v>
      </c>
      <c r="E41" s="8" t="s">
        <v>128</v>
      </c>
      <c r="F41" s="16">
        <v>9952</v>
      </c>
      <c r="G41" s="16">
        <v>9952.2000000000007</v>
      </c>
      <c r="H41" s="13">
        <f t="shared" si="10"/>
        <v>9952.2000000000007</v>
      </c>
      <c r="I41" s="21">
        <v>1</v>
      </c>
      <c r="J41" s="21">
        <v>1</v>
      </c>
      <c r="K41" s="21">
        <v>1</v>
      </c>
      <c r="L41" s="8" t="s">
        <v>340</v>
      </c>
      <c r="M41" s="14">
        <f>Y41*Resumen!$C$6+AC41*Resumen!$C$7+AG41*Resumen!$C$9</f>
        <v>1</v>
      </c>
      <c r="N41" s="14">
        <f>Z41*Resumen!$C$6+AD41*Resumen!$C$7+AH41*Resumen!$C$9</f>
        <v>1</v>
      </c>
      <c r="O41" s="13">
        <f t="shared" si="11"/>
        <v>9952.2000000000007</v>
      </c>
      <c r="P41" s="13">
        <f t="shared" si="12"/>
        <v>9952.2000000000007</v>
      </c>
      <c r="Q41" s="21" t="s">
        <v>341</v>
      </c>
      <c r="R41" s="21" t="s">
        <v>341</v>
      </c>
      <c r="S41" s="21" t="s">
        <v>341</v>
      </c>
      <c r="T41" s="28"/>
      <c r="U41" s="13">
        <f>H41*((Q41="Oficial")*Resumen!$C$6+(R41="Oficial")*Resumen!$C$7+(S41="Oficial")*Resumen!$C$9)</f>
        <v>0</v>
      </c>
      <c r="V41" s="8" t="str">
        <f t="shared" si="13"/>
        <v>Con entregas verificadas</v>
      </c>
      <c r="W41" s="8" t="str">
        <f>IF(I41="",SUMPRODUCT(($I$5:$I$69="")*($H$5:$H$69&lt;H41))+SUMPRODUCT((I$5:I41="")*($H$5:H41=H41)),"")</f>
        <v/>
      </c>
      <c r="X41" s="8" t="str">
        <f>IF(I41="",SUMPRODUCT(($I$5:$I$69="")*($H$5:$H$69&gt;H41))+SUMPRODUCT((I$5:I41="")*($H$5:H41=H41)),"")</f>
        <v/>
      </c>
      <c r="Y41" s="8">
        <f t="shared" si="14"/>
        <v>1</v>
      </c>
      <c r="Z41" s="8">
        <f t="shared" si="15"/>
        <v>1</v>
      </c>
      <c r="AA41" s="8" t="str">
        <f>IF(J41="",SUMPRODUCT(($J$5:$J$69="")*($H$5:$H$69&lt;H41))+SUMPRODUCT((J$5:J41="")*($H$5:H41=H41)),"")</f>
        <v/>
      </c>
      <c r="AB41" s="8" t="str">
        <f>IF(J41="",SUMPRODUCT(($J$5:$J$69="")*($H$5:$H$69&gt;H41))+SUMPRODUCT((J$5:J41="")*($H$5:H41=H41)),"")</f>
        <v/>
      </c>
      <c r="AC41" s="8">
        <f t="shared" si="16"/>
        <v>1</v>
      </c>
      <c r="AD41" s="8">
        <f t="shared" si="17"/>
        <v>1</v>
      </c>
      <c r="AE41" s="8" t="str">
        <f>IF(K41="",SUMPRODUCT(($K$5:$K$69="")*($H$5:$H$69&lt;H41))+SUMPRODUCT((K$5:K41="")*($H$5:H41=H41)),"")</f>
        <v/>
      </c>
      <c r="AF41" s="8" t="str">
        <f>IF(K41="",SUMPRODUCT(($K$5:$K$69="")*($H$5:$H$69&gt;H41))+SUMPRODUCT((K$5:K41="")*($H$5:H41=H41)),"")</f>
        <v/>
      </c>
      <c r="AG41" s="8">
        <f t="shared" si="18"/>
        <v>1</v>
      </c>
      <c r="AH41" s="8">
        <f t="shared" si="19"/>
        <v>1</v>
      </c>
    </row>
    <row r="42" spans="1:34" ht="15" customHeight="1" x14ac:dyDescent="0.25">
      <c r="A42" s="8" t="s">
        <v>212</v>
      </c>
      <c r="B42" s="8" t="s">
        <v>213</v>
      </c>
      <c r="C42" s="8" t="s">
        <v>149</v>
      </c>
      <c r="D42" s="8" t="s">
        <v>161</v>
      </c>
      <c r="E42" s="8" t="s">
        <v>128</v>
      </c>
      <c r="F42" s="16">
        <v>43404</v>
      </c>
      <c r="H42" s="13">
        <f t="shared" si="10"/>
        <v>43404</v>
      </c>
      <c r="I42" s="26"/>
      <c r="J42" s="26"/>
      <c r="K42" s="26"/>
      <c r="L42" s="8" t="s">
        <v>304</v>
      </c>
      <c r="M42" s="14">
        <f>Y42*Resumen!$C$6+AC42*Resumen!$C$7+AG42*Resumen!$C$9</f>
        <v>1</v>
      </c>
      <c r="N42" s="14">
        <f>Z42*Resumen!$C$6+AD42*Resumen!$C$7+AH42*Resumen!$C$9</f>
        <v>1</v>
      </c>
      <c r="O42" s="13">
        <f t="shared" si="11"/>
        <v>43404</v>
      </c>
      <c r="P42" s="13">
        <f t="shared" si="12"/>
        <v>43404</v>
      </c>
      <c r="Q42" s="27"/>
      <c r="R42" s="27"/>
      <c r="S42" s="27"/>
      <c r="T42" s="8" t="s">
        <v>347</v>
      </c>
      <c r="U42" s="13">
        <f>H42*((Q42="Oficial")*Resumen!$C$6+(R42="Oficial")*Resumen!$C$7+(S42="Oficial")*Resumen!$C$9)</f>
        <v>0</v>
      </c>
      <c r="V42" s="8" t="str">
        <f t="shared" si="13"/>
        <v>Sin evidencia municipal</v>
      </c>
      <c r="W42" s="8">
        <f>IF(I42="",SUMPRODUCT(($I$5:$I$69="")*($H$5:$H$69&lt;H42))+SUMPRODUCT((I$5:I42="")*($H$5:H42=H42)),"")</f>
        <v>19</v>
      </c>
      <c r="X42" s="8">
        <f>IF(I42="",SUMPRODUCT(($I$5:$I$69="")*($H$5:$H$69&gt;H42))+SUMPRODUCT((I$5:I42="")*($H$5:H42=H42)),"")</f>
        <v>10</v>
      </c>
      <c r="Y42" s="8">
        <f t="shared" si="14"/>
        <v>1</v>
      </c>
      <c r="Z42" s="8">
        <f t="shared" si="15"/>
        <v>1</v>
      </c>
      <c r="AA42" s="8">
        <f>IF(J42="",SUMPRODUCT(($J$5:$J$69="")*($H$5:$H$69&lt;H42))+SUMPRODUCT((J$5:J42="")*($H$5:H42=H42)),"")</f>
        <v>19</v>
      </c>
      <c r="AB42" s="8">
        <f>IF(J42="",SUMPRODUCT(($J$5:$J$69="")*($H$5:$H$69&gt;H42))+SUMPRODUCT((J$5:J42="")*($H$5:H42=H42)),"")</f>
        <v>11</v>
      </c>
      <c r="AC42" s="8">
        <f t="shared" si="16"/>
        <v>1</v>
      </c>
      <c r="AD42" s="8">
        <f t="shared" si="17"/>
        <v>1</v>
      </c>
      <c r="AE42" s="8">
        <f>IF(K42="",SUMPRODUCT(($K$5:$K$69="")*($H$5:$H$69&lt;H42))+SUMPRODUCT((K$5:K42="")*($H$5:H42=H42)),"")</f>
        <v>18</v>
      </c>
      <c r="AF42" s="8">
        <f>IF(K42="",SUMPRODUCT(($K$5:$K$69="")*($H$5:$H$69&gt;H42))+SUMPRODUCT((K$5:K42="")*($H$5:H42=H42)),"")</f>
        <v>13</v>
      </c>
      <c r="AG42" s="8">
        <f t="shared" si="18"/>
        <v>1</v>
      </c>
      <c r="AH42" s="8">
        <f t="shared" si="19"/>
        <v>1</v>
      </c>
    </row>
    <row r="43" spans="1:34" ht="23.85" customHeight="1" x14ac:dyDescent="0.25">
      <c r="A43" s="8" t="s">
        <v>214</v>
      </c>
      <c r="B43" s="8" t="s">
        <v>215</v>
      </c>
      <c r="C43" s="8" t="s">
        <v>177</v>
      </c>
      <c r="D43" s="8" t="s">
        <v>161</v>
      </c>
      <c r="E43" s="8" t="s">
        <v>128</v>
      </c>
      <c r="F43" s="16">
        <v>121893</v>
      </c>
      <c r="G43" s="16">
        <v>121893.16</v>
      </c>
      <c r="H43" s="13">
        <f t="shared" si="10"/>
        <v>121893.16</v>
      </c>
      <c r="I43" s="21">
        <v>1</v>
      </c>
      <c r="J43" s="21">
        <v>1</v>
      </c>
      <c r="K43" s="21">
        <v>1</v>
      </c>
      <c r="L43" s="8" t="s">
        <v>357</v>
      </c>
      <c r="M43" s="14">
        <f>Y43*Resumen!$C$6+AC43*Resumen!$C$7+AG43*Resumen!$C$9</f>
        <v>1</v>
      </c>
      <c r="N43" s="14">
        <f>Z43*Resumen!$C$6+AD43*Resumen!$C$7+AH43*Resumen!$C$9</f>
        <v>1</v>
      </c>
      <c r="O43" s="13">
        <f t="shared" si="11"/>
        <v>121893.16</v>
      </c>
      <c r="P43" s="13">
        <f t="shared" si="12"/>
        <v>121893.16</v>
      </c>
      <c r="Q43" s="21" t="s">
        <v>345</v>
      </c>
      <c r="R43" s="21" t="s">
        <v>345</v>
      </c>
      <c r="S43" s="21" t="s">
        <v>345</v>
      </c>
      <c r="T43" s="28"/>
      <c r="U43" s="13">
        <f>H43*((Q43="Oficial")*Resumen!$C$6+(R43="Oficial")*Resumen!$C$7+(S43="Oficial")*Resumen!$C$9)</f>
        <v>121893.16</v>
      </c>
      <c r="V43" s="8" t="str">
        <f t="shared" si="13"/>
        <v>Con entregas verificadas</v>
      </c>
      <c r="W43" s="8" t="str">
        <f>IF(I43="",SUMPRODUCT(($I$5:$I$69="")*($H$5:$H$69&lt;H43))+SUMPRODUCT((I$5:I43="")*($H$5:H43=H43)),"")</f>
        <v/>
      </c>
      <c r="X43" s="8" t="str">
        <f>IF(I43="",SUMPRODUCT(($I$5:$I$69="")*($H$5:$H$69&gt;H43))+SUMPRODUCT((I$5:I43="")*($H$5:H43=H43)),"")</f>
        <v/>
      </c>
      <c r="Y43" s="8">
        <f t="shared" si="14"/>
        <v>1</v>
      </c>
      <c r="Z43" s="8">
        <f t="shared" si="15"/>
        <v>1</v>
      </c>
      <c r="AA43" s="8" t="str">
        <f>IF(J43="",SUMPRODUCT(($J$5:$J$69="")*($H$5:$H$69&lt;H43))+SUMPRODUCT((J$5:J43="")*($H$5:H43=H43)),"")</f>
        <v/>
      </c>
      <c r="AB43" s="8" t="str">
        <f>IF(J43="",SUMPRODUCT(($J$5:$J$69="")*($H$5:$H$69&gt;H43))+SUMPRODUCT((J$5:J43="")*($H$5:H43=H43)),"")</f>
        <v/>
      </c>
      <c r="AC43" s="8">
        <f t="shared" si="16"/>
        <v>1</v>
      </c>
      <c r="AD43" s="8">
        <f t="shared" si="17"/>
        <v>1</v>
      </c>
      <c r="AE43" s="8" t="str">
        <f>IF(K43="",SUMPRODUCT(($K$5:$K$69="")*($H$5:$H$69&lt;H43))+SUMPRODUCT((K$5:K43="")*($H$5:H43=H43)),"")</f>
        <v/>
      </c>
      <c r="AF43" s="8" t="str">
        <f>IF(K43="",SUMPRODUCT(($K$5:$K$69="")*($H$5:$H$69&gt;H43))+SUMPRODUCT((K$5:K43="")*($H$5:H43=H43)),"")</f>
        <v/>
      </c>
      <c r="AG43" s="8">
        <f t="shared" si="18"/>
        <v>1</v>
      </c>
      <c r="AH43" s="8">
        <f t="shared" si="19"/>
        <v>1</v>
      </c>
    </row>
    <row r="44" spans="1:34" ht="35.1" customHeight="1" x14ac:dyDescent="0.25">
      <c r="A44" s="8" t="s">
        <v>216</v>
      </c>
      <c r="B44" s="8" t="s">
        <v>217</v>
      </c>
      <c r="C44" s="8" t="s">
        <v>177</v>
      </c>
      <c r="D44" s="8" t="s">
        <v>161</v>
      </c>
      <c r="E44" s="8" t="s">
        <v>128</v>
      </c>
      <c r="F44" s="16">
        <v>57907</v>
      </c>
      <c r="G44" s="16">
        <v>57906.71</v>
      </c>
      <c r="H44" s="13">
        <f t="shared" si="10"/>
        <v>57906.71</v>
      </c>
      <c r="I44" s="21">
        <v>1</v>
      </c>
      <c r="J44" s="21">
        <v>1</v>
      </c>
      <c r="K44" s="21">
        <v>1</v>
      </c>
      <c r="L44" s="8" t="s">
        <v>344</v>
      </c>
      <c r="M44" s="14">
        <f>Y44*Resumen!$C$6+AC44*Resumen!$C$7+AG44*Resumen!$C$9</f>
        <v>1</v>
      </c>
      <c r="N44" s="14">
        <f>Z44*Resumen!$C$6+AD44*Resumen!$C$7+AH44*Resumen!$C$9</f>
        <v>1</v>
      </c>
      <c r="O44" s="13">
        <f t="shared" si="11"/>
        <v>57906.71</v>
      </c>
      <c r="P44" s="13">
        <f t="shared" si="12"/>
        <v>57906.71</v>
      </c>
      <c r="Q44" s="21" t="s">
        <v>345</v>
      </c>
      <c r="R44" s="21" t="s">
        <v>341</v>
      </c>
      <c r="S44" s="21" t="s">
        <v>343</v>
      </c>
      <c r="T44" s="28"/>
      <c r="U44" s="13">
        <f>H44*((Q44="Oficial")*Resumen!$C$6+(R44="Oficial")*Resumen!$C$7+(S44="Oficial")*Resumen!$C$9)</f>
        <v>26058.019499999999</v>
      </c>
      <c r="V44" s="8" t="str">
        <f t="shared" si="13"/>
        <v>Con entregas verificadas</v>
      </c>
      <c r="W44" s="8" t="str">
        <f>IF(I44="",SUMPRODUCT(($I$5:$I$69="")*($H$5:$H$69&lt;H44))+SUMPRODUCT((I$5:I44="")*($H$5:H44=H44)),"")</f>
        <v/>
      </c>
      <c r="X44" s="8" t="str">
        <f>IF(I44="",SUMPRODUCT(($I$5:$I$69="")*($H$5:$H$69&gt;H44))+SUMPRODUCT((I$5:I44="")*($H$5:H44=H44)),"")</f>
        <v/>
      </c>
      <c r="Y44" s="8">
        <f t="shared" si="14"/>
        <v>1</v>
      </c>
      <c r="Z44" s="8">
        <f t="shared" si="15"/>
        <v>1</v>
      </c>
      <c r="AA44" s="8" t="str">
        <f>IF(J44="",SUMPRODUCT(($J$5:$J$69="")*($H$5:$H$69&lt;H44))+SUMPRODUCT((J$5:J44="")*($H$5:H44=H44)),"")</f>
        <v/>
      </c>
      <c r="AB44" s="8" t="str">
        <f>IF(J44="",SUMPRODUCT(($J$5:$J$69="")*($H$5:$H$69&gt;H44))+SUMPRODUCT((J$5:J44="")*($H$5:H44=H44)),"")</f>
        <v/>
      </c>
      <c r="AC44" s="8">
        <f t="shared" si="16"/>
        <v>1</v>
      </c>
      <c r="AD44" s="8">
        <f t="shared" si="17"/>
        <v>1</v>
      </c>
      <c r="AE44" s="8" t="str">
        <f>IF(K44="",SUMPRODUCT(($K$5:$K$69="")*($H$5:$H$69&lt;H44))+SUMPRODUCT((K$5:K44="")*($H$5:H44=H44)),"")</f>
        <v/>
      </c>
      <c r="AF44" s="8" t="str">
        <f>IF(K44="",SUMPRODUCT(($K$5:$K$69="")*($H$5:$H$69&gt;H44))+SUMPRODUCT((K$5:K44="")*($H$5:H44=H44)),"")</f>
        <v/>
      </c>
      <c r="AG44" s="8">
        <f t="shared" si="18"/>
        <v>1</v>
      </c>
      <c r="AH44" s="8">
        <f t="shared" si="19"/>
        <v>1</v>
      </c>
    </row>
    <row r="45" spans="1:34" ht="23.85" customHeight="1" x14ac:dyDescent="0.25">
      <c r="A45" s="8" t="s">
        <v>218</v>
      </c>
      <c r="B45" s="8" t="s">
        <v>219</v>
      </c>
      <c r="C45" s="8" t="s">
        <v>177</v>
      </c>
      <c r="D45" s="8" t="s">
        <v>161</v>
      </c>
      <c r="E45" s="8" t="s">
        <v>128</v>
      </c>
      <c r="F45" s="16">
        <v>37194</v>
      </c>
      <c r="G45" s="16">
        <v>37194.19</v>
      </c>
      <c r="H45" s="13">
        <f t="shared" si="10"/>
        <v>37194.19</v>
      </c>
      <c r="I45" s="21">
        <v>1</v>
      </c>
      <c r="J45" s="21">
        <v>1</v>
      </c>
      <c r="K45" s="21">
        <v>1</v>
      </c>
      <c r="L45" s="8" t="s">
        <v>358</v>
      </c>
      <c r="M45" s="14">
        <f>Y45*Resumen!$C$6+AC45*Resumen!$C$7+AG45*Resumen!$C$9</f>
        <v>1</v>
      </c>
      <c r="N45" s="14">
        <f>Z45*Resumen!$C$6+AD45*Resumen!$C$7+AH45*Resumen!$C$9</f>
        <v>1</v>
      </c>
      <c r="O45" s="13">
        <f t="shared" si="11"/>
        <v>37194.19</v>
      </c>
      <c r="P45" s="13">
        <f t="shared" si="12"/>
        <v>37194.19</v>
      </c>
      <c r="Q45" s="21" t="s">
        <v>345</v>
      </c>
      <c r="R45" s="21" t="s">
        <v>345</v>
      </c>
      <c r="S45" s="21" t="s">
        <v>343</v>
      </c>
      <c r="T45" s="28"/>
      <c r="U45" s="13">
        <f>H45*((Q45="Oficial")*Resumen!$C$6+(R45="Oficial")*Resumen!$C$7+(S45="Oficial")*Resumen!$C$9)</f>
        <v>33474.771000000001</v>
      </c>
      <c r="V45" s="8" t="str">
        <f t="shared" si="13"/>
        <v>Con entregas verificadas</v>
      </c>
      <c r="W45" s="8" t="str">
        <f>IF(I45="",SUMPRODUCT(($I$5:$I$69="")*($H$5:$H$69&lt;H45))+SUMPRODUCT((I$5:I45="")*($H$5:H45=H45)),"")</f>
        <v/>
      </c>
      <c r="X45" s="8" t="str">
        <f>IF(I45="",SUMPRODUCT(($I$5:$I$69="")*($H$5:$H$69&gt;H45))+SUMPRODUCT((I$5:I45="")*($H$5:H45=H45)),"")</f>
        <v/>
      </c>
      <c r="Y45" s="8">
        <f t="shared" si="14"/>
        <v>1</v>
      </c>
      <c r="Z45" s="8">
        <f t="shared" si="15"/>
        <v>1</v>
      </c>
      <c r="AA45" s="8" t="str">
        <f>IF(J45="",SUMPRODUCT(($J$5:$J$69="")*($H$5:$H$69&lt;H45))+SUMPRODUCT((J$5:J45="")*($H$5:H45=H45)),"")</f>
        <v/>
      </c>
      <c r="AB45" s="8" t="str">
        <f>IF(J45="",SUMPRODUCT(($J$5:$J$69="")*($H$5:$H$69&gt;H45))+SUMPRODUCT((J$5:J45="")*($H$5:H45=H45)),"")</f>
        <v/>
      </c>
      <c r="AC45" s="8">
        <f t="shared" si="16"/>
        <v>1</v>
      </c>
      <c r="AD45" s="8">
        <f t="shared" si="17"/>
        <v>1</v>
      </c>
      <c r="AE45" s="8" t="str">
        <f>IF(K45="",SUMPRODUCT(($K$5:$K$69="")*($H$5:$H$69&lt;H45))+SUMPRODUCT((K$5:K45="")*($H$5:H45=H45)),"")</f>
        <v/>
      </c>
      <c r="AF45" s="8" t="str">
        <f>IF(K45="",SUMPRODUCT(($K$5:$K$69="")*($H$5:$H$69&gt;H45))+SUMPRODUCT((K$5:K45="")*($H$5:H45=H45)),"")</f>
        <v/>
      </c>
      <c r="AG45" s="8">
        <f t="shared" si="18"/>
        <v>1</v>
      </c>
      <c r="AH45" s="8">
        <f t="shared" si="19"/>
        <v>1</v>
      </c>
    </row>
    <row r="46" spans="1:34" ht="15" customHeight="1" x14ac:dyDescent="0.25">
      <c r="A46" s="8" t="s">
        <v>220</v>
      </c>
      <c r="B46" s="8" t="s">
        <v>221</v>
      </c>
      <c r="C46" s="8" t="s">
        <v>157</v>
      </c>
      <c r="D46" s="8" t="s">
        <v>161</v>
      </c>
      <c r="E46" s="8" t="s">
        <v>128</v>
      </c>
      <c r="F46" s="16">
        <v>196582</v>
      </c>
      <c r="H46" s="13">
        <f t="shared" si="10"/>
        <v>196582</v>
      </c>
      <c r="I46" s="26"/>
      <c r="J46" s="26"/>
      <c r="K46" s="26"/>
      <c r="L46" s="8" t="s">
        <v>304</v>
      </c>
      <c r="M46" s="14">
        <f>Y46*Resumen!$C$6+AC46*Resumen!$C$7+AG46*Resumen!$C$9</f>
        <v>0</v>
      </c>
      <c r="N46" s="14">
        <f>Z46*Resumen!$C$6+AD46*Resumen!$C$7+AH46*Resumen!$C$9</f>
        <v>1</v>
      </c>
      <c r="O46" s="13">
        <f t="shared" si="11"/>
        <v>0</v>
      </c>
      <c r="P46" s="13">
        <f t="shared" si="12"/>
        <v>196582</v>
      </c>
      <c r="Q46" s="27"/>
      <c r="R46" s="27"/>
      <c r="S46" s="27"/>
      <c r="T46" s="28"/>
      <c r="U46" s="13">
        <f>H46*((Q46="Oficial")*Resumen!$C$6+(R46="Oficial")*Resumen!$C$7+(S46="Oficial")*Resumen!$C$9)</f>
        <v>0</v>
      </c>
      <c r="V46" s="8" t="str">
        <f t="shared" si="13"/>
        <v>Sin evidencia municipal</v>
      </c>
      <c r="W46" s="8">
        <f>IF(I46="",SUMPRODUCT(($I$5:$I$69="")*($H$5:$H$69&lt;H46))+SUMPRODUCT((I$5:I46="")*($H$5:H46=H46)),"")</f>
        <v>28</v>
      </c>
      <c r="X46" s="8">
        <f>IF(I46="",SUMPRODUCT(($I$5:$I$69="")*($H$5:$H$69&gt;H46))+SUMPRODUCT((I$5:I46="")*($H$5:H46=H46)),"")</f>
        <v>1</v>
      </c>
      <c r="Y46" s="8">
        <f t="shared" si="14"/>
        <v>0</v>
      </c>
      <c r="Z46" s="8">
        <f t="shared" si="15"/>
        <v>1</v>
      </c>
      <c r="AA46" s="8">
        <f>IF(J46="",SUMPRODUCT(($J$5:$J$69="")*($H$5:$H$69&lt;H46))+SUMPRODUCT((J$5:J46="")*($H$5:H46=H46)),"")</f>
        <v>29</v>
      </c>
      <c r="AB46" s="8">
        <f>IF(J46="",SUMPRODUCT(($J$5:$J$69="")*($H$5:$H$69&gt;H46))+SUMPRODUCT((J$5:J46="")*($H$5:H46=H46)),"")</f>
        <v>1</v>
      </c>
      <c r="AC46" s="8">
        <f t="shared" si="16"/>
        <v>0</v>
      </c>
      <c r="AD46" s="8">
        <f t="shared" si="17"/>
        <v>1</v>
      </c>
      <c r="AE46" s="8">
        <f>IF(K46="",SUMPRODUCT(($K$5:$K$69="")*($H$5:$H$69&lt;H46))+SUMPRODUCT((K$5:K46="")*($H$5:H46=H46)),"")</f>
        <v>30</v>
      </c>
      <c r="AF46" s="8">
        <f>IF(K46="",SUMPRODUCT(($K$5:$K$69="")*($H$5:$H$69&gt;H46))+SUMPRODUCT((K$5:K46="")*($H$5:H46=H46)),"")</f>
        <v>1</v>
      </c>
      <c r="AG46" s="8">
        <f t="shared" si="18"/>
        <v>0</v>
      </c>
      <c r="AH46" s="8">
        <f t="shared" si="19"/>
        <v>1</v>
      </c>
    </row>
    <row r="47" spans="1:34" ht="15" customHeight="1" x14ac:dyDescent="0.25">
      <c r="A47" s="8" t="s">
        <v>222</v>
      </c>
      <c r="B47" s="8" t="s">
        <v>223</v>
      </c>
      <c r="C47" s="8" t="s">
        <v>138</v>
      </c>
      <c r="D47" s="8" t="s">
        <v>161</v>
      </c>
      <c r="E47" s="8" t="s">
        <v>128</v>
      </c>
      <c r="F47" s="16">
        <v>20682</v>
      </c>
      <c r="H47" s="13">
        <f t="shared" si="10"/>
        <v>20682</v>
      </c>
      <c r="I47" s="26"/>
      <c r="J47" s="26"/>
      <c r="K47" s="26"/>
      <c r="L47" s="8" t="s">
        <v>304</v>
      </c>
      <c r="M47" s="14">
        <f>Y47*Resumen!$C$6+AC47*Resumen!$C$7+AG47*Resumen!$C$9</f>
        <v>1</v>
      </c>
      <c r="N47" s="14">
        <f>Z47*Resumen!$C$6+AD47*Resumen!$C$7+AH47*Resumen!$C$9</f>
        <v>0.9</v>
      </c>
      <c r="O47" s="13">
        <f t="shared" si="11"/>
        <v>20682</v>
      </c>
      <c r="P47" s="13">
        <f t="shared" si="12"/>
        <v>18613.8</v>
      </c>
      <c r="Q47" s="27"/>
      <c r="R47" s="27"/>
      <c r="S47" s="27"/>
      <c r="T47" s="28"/>
      <c r="U47" s="13">
        <f>H47*((Q47="Oficial")*Resumen!$C$6+(R47="Oficial")*Resumen!$C$7+(S47="Oficial")*Resumen!$C$9)</f>
        <v>0</v>
      </c>
      <c r="V47" s="8" t="str">
        <f t="shared" si="13"/>
        <v>Sin evidencia municipal</v>
      </c>
      <c r="W47" s="8">
        <f>IF(I47="",SUMPRODUCT(($I$5:$I$69="")*($H$5:$H$69&lt;H47))+SUMPRODUCT((I$5:I47="")*($H$5:H47=H47)),"")</f>
        <v>5</v>
      </c>
      <c r="X47" s="8">
        <f>IF(I47="",SUMPRODUCT(($I$5:$I$69="")*($H$5:$H$69&gt;H47))+SUMPRODUCT((I$5:I47="")*($H$5:H47=H47)),"")</f>
        <v>24</v>
      </c>
      <c r="Y47" s="8">
        <f t="shared" si="14"/>
        <v>1</v>
      </c>
      <c r="Z47" s="8">
        <f t="shared" si="15"/>
        <v>1</v>
      </c>
      <c r="AA47" s="8">
        <f>IF(J47="",SUMPRODUCT(($J$5:$J$69="")*($H$5:$H$69&lt;H47))+SUMPRODUCT((J$5:J47="")*($H$5:H47=H47)),"")</f>
        <v>5</v>
      </c>
      <c r="AB47" s="8">
        <f>IF(J47="",SUMPRODUCT(($J$5:$J$69="")*($H$5:$H$69&gt;H47))+SUMPRODUCT((J$5:J47="")*($H$5:H47=H47)),"")</f>
        <v>25</v>
      </c>
      <c r="AC47" s="8">
        <f t="shared" si="16"/>
        <v>1</v>
      </c>
      <c r="AD47" s="8">
        <f t="shared" si="17"/>
        <v>1</v>
      </c>
      <c r="AE47" s="8">
        <f>IF(K47="",SUMPRODUCT(($K$5:$K$69="")*($H$5:$H$69&lt;H47))+SUMPRODUCT((K$5:K47="")*($H$5:H47=H47)),"")</f>
        <v>4</v>
      </c>
      <c r="AF47" s="8">
        <f>IF(K47="",SUMPRODUCT(($K$5:$K$69="")*($H$5:$H$69&gt;H47))+SUMPRODUCT((K$5:K47="")*($H$5:H47=H47)),"")</f>
        <v>27</v>
      </c>
      <c r="AG47" s="8">
        <f t="shared" si="18"/>
        <v>1</v>
      </c>
      <c r="AH47" s="8">
        <f t="shared" si="19"/>
        <v>0</v>
      </c>
    </row>
    <row r="48" spans="1:34" ht="15" customHeight="1" x14ac:dyDescent="0.25">
      <c r="A48" s="8" t="s">
        <v>224</v>
      </c>
      <c r="B48" s="8" t="s">
        <v>225</v>
      </c>
      <c r="C48" s="8" t="s">
        <v>138</v>
      </c>
      <c r="D48" s="8" t="s">
        <v>161</v>
      </c>
      <c r="E48" s="8" t="s">
        <v>128</v>
      </c>
      <c r="F48" s="16">
        <v>12605</v>
      </c>
      <c r="H48" s="13">
        <f t="shared" si="10"/>
        <v>12605</v>
      </c>
      <c r="I48" s="26"/>
      <c r="J48" s="26"/>
      <c r="K48" s="26"/>
      <c r="L48" s="8" t="s">
        <v>304</v>
      </c>
      <c r="M48" s="14">
        <f>Y48*Resumen!$C$6+AC48*Resumen!$C$7+AG48*Resumen!$C$9</f>
        <v>1</v>
      </c>
      <c r="N48" s="14">
        <f>Z48*Resumen!$C$6+AD48*Resumen!$C$7+AH48*Resumen!$C$9</f>
        <v>0.9</v>
      </c>
      <c r="O48" s="13">
        <f t="shared" si="11"/>
        <v>12605</v>
      </c>
      <c r="P48" s="13">
        <f t="shared" si="12"/>
        <v>11344.5</v>
      </c>
      <c r="Q48" s="27"/>
      <c r="R48" s="27"/>
      <c r="S48" s="27"/>
      <c r="T48" s="28"/>
      <c r="U48" s="13">
        <f>H48*((Q48="Oficial")*Resumen!$C$6+(R48="Oficial")*Resumen!$C$7+(S48="Oficial")*Resumen!$C$9)</f>
        <v>0</v>
      </c>
      <c r="V48" s="8" t="str">
        <f t="shared" si="13"/>
        <v>Sin evidencia municipal</v>
      </c>
      <c r="W48" s="8">
        <f>IF(I48="",SUMPRODUCT(($I$5:$I$69="")*($H$5:$H$69&lt;H48))+SUMPRODUCT((I$5:I48="")*($H$5:H48=H48)),"")</f>
        <v>2</v>
      </c>
      <c r="X48" s="8">
        <f>IF(I48="",SUMPRODUCT(($I$5:$I$69="")*($H$5:$H$69&gt;H48))+SUMPRODUCT((I$5:I48="")*($H$5:H48=H48)),"")</f>
        <v>27</v>
      </c>
      <c r="Y48" s="8">
        <f t="shared" si="14"/>
        <v>1</v>
      </c>
      <c r="Z48" s="8">
        <f t="shared" si="15"/>
        <v>1</v>
      </c>
      <c r="AA48" s="8">
        <f>IF(J48="",SUMPRODUCT(($J$5:$J$69="")*($H$5:$H$69&lt;H48))+SUMPRODUCT((J$5:J48="")*($H$5:H48=H48)),"")</f>
        <v>2</v>
      </c>
      <c r="AB48" s="8">
        <f>IF(J48="",SUMPRODUCT(($J$5:$J$69="")*($H$5:$H$69&gt;H48))+SUMPRODUCT((J$5:J48="")*($H$5:H48=H48)),"")</f>
        <v>28</v>
      </c>
      <c r="AC48" s="8">
        <f t="shared" si="16"/>
        <v>1</v>
      </c>
      <c r="AD48" s="8">
        <f t="shared" si="17"/>
        <v>1</v>
      </c>
      <c r="AE48" s="8">
        <f>IF(K48="",SUMPRODUCT(($K$5:$K$69="")*($H$5:$H$69&lt;H48))+SUMPRODUCT((K$5:K48="")*($H$5:H48=H48)),"")</f>
        <v>2</v>
      </c>
      <c r="AF48" s="8">
        <f>IF(K48="",SUMPRODUCT(($K$5:$K$69="")*($H$5:$H$69&gt;H48))+SUMPRODUCT((K$5:K48="")*($H$5:H48=H48)),"")</f>
        <v>29</v>
      </c>
      <c r="AG48" s="8">
        <f t="shared" si="18"/>
        <v>1</v>
      </c>
      <c r="AH48" s="8">
        <f t="shared" si="19"/>
        <v>0</v>
      </c>
    </row>
    <row r="49" spans="1:34" ht="23.85" customHeight="1" x14ac:dyDescent="0.25">
      <c r="A49" s="8" t="s">
        <v>226</v>
      </c>
      <c r="B49" s="8" t="s">
        <v>227</v>
      </c>
      <c r="C49" s="8" t="s">
        <v>185</v>
      </c>
      <c r="D49" s="8" t="s">
        <v>161</v>
      </c>
      <c r="E49" s="8" t="s">
        <v>128</v>
      </c>
      <c r="F49" s="16">
        <v>27208</v>
      </c>
      <c r="G49" s="16">
        <v>27208.01</v>
      </c>
      <c r="H49" s="13">
        <f t="shared" si="10"/>
        <v>27208.01</v>
      </c>
      <c r="I49" s="21">
        <v>1</v>
      </c>
      <c r="J49" s="21">
        <v>1</v>
      </c>
      <c r="K49" s="21">
        <v>1</v>
      </c>
      <c r="L49" s="8" t="s">
        <v>351</v>
      </c>
      <c r="M49" s="14">
        <f>Y49*Resumen!$C$6+AC49*Resumen!$C$7+AG49*Resumen!$C$9</f>
        <v>1</v>
      </c>
      <c r="N49" s="14">
        <f>Z49*Resumen!$C$6+AD49*Resumen!$C$7+AH49*Resumen!$C$9</f>
        <v>1</v>
      </c>
      <c r="O49" s="13">
        <f t="shared" si="11"/>
        <v>27208.01</v>
      </c>
      <c r="P49" s="13">
        <f t="shared" si="12"/>
        <v>27208.01</v>
      </c>
      <c r="Q49" s="21" t="s">
        <v>345</v>
      </c>
      <c r="R49" s="21" t="s">
        <v>341</v>
      </c>
      <c r="S49" s="21" t="s">
        <v>341</v>
      </c>
      <c r="T49" s="28"/>
      <c r="U49" s="13">
        <f>H49*((Q49="Oficial")*Resumen!$C$6+(R49="Oficial")*Resumen!$C$7+(S49="Oficial")*Resumen!$C$9)</f>
        <v>12243.604499999999</v>
      </c>
      <c r="V49" s="8" t="str">
        <f t="shared" si="13"/>
        <v>Con entregas verificadas</v>
      </c>
      <c r="W49" s="8" t="str">
        <f>IF(I49="",SUMPRODUCT(($I$5:$I$69="")*($H$5:$H$69&lt;H49))+SUMPRODUCT((I$5:I49="")*($H$5:H49=H49)),"")</f>
        <v/>
      </c>
      <c r="X49" s="8" t="str">
        <f>IF(I49="",SUMPRODUCT(($I$5:$I$69="")*($H$5:$H$69&gt;H49))+SUMPRODUCT((I$5:I49="")*($H$5:H49=H49)),"")</f>
        <v/>
      </c>
      <c r="Y49" s="8">
        <f t="shared" si="14"/>
        <v>1</v>
      </c>
      <c r="Z49" s="8">
        <f t="shared" si="15"/>
        <v>1</v>
      </c>
      <c r="AA49" s="8" t="str">
        <f>IF(J49="",SUMPRODUCT(($J$5:$J$69="")*($H$5:$H$69&lt;H49))+SUMPRODUCT((J$5:J49="")*($H$5:H49=H49)),"")</f>
        <v/>
      </c>
      <c r="AB49" s="8" t="str">
        <f>IF(J49="",SUMPRODUCT(($J$5:$J$69="")*($H$5:$H$69&gt;H49))+SUMPRODUCT((J$5:J49="")*($H$5:H49=H49)),"")</f>
        <v/>
      </c>
      <c r="AC49" s="8">
        <f t="shared" si="16"/>
        <v>1</v>
      </c>
      <c r="AD49" s="8">
        <f t="shared" si="17"/>
        <v>1</v>
      </c>
      <c r="AE49" s="8" t="str">
        <f>IF(K49="",SUMPRODUCT(($K$5:$K$69="")*($H$5:$H$69&lt;H49))+SUMPRODUCT((K$5:K49="")*($H$5:H49=H49)),"")</f>
        <v/>
      </c>
      <c r="AF49" s="8" t="str">
        <f>IF(K49="",SUMPRODUCT(($K$5:$K$69="")*($H$5:$H$69&gt;H49))+SUMPRODUCT((K$5:K49="")*($H$5:H49=H49)),"")</f>
        <v/>
      </c>
      <c r="AG49" s="8">
        <f t="shared" si="18"/>
        <v>1</v>
      </c>
      <c r="AH49" s="8">
        <f t="shared" si="19"/>
        <v>1</v>
      </c>
    </row>
    <row r="50" spans="1:34" ht="15" customHeight="1" x14ac:dyDescent="0.25">
      <c r="A50" s="8" t="s">
        <v>228</v>
      </c>
      <c r="B50" s="8" t="s">
        <v>229</v>
      </c>
      <c r="C50" s="8" t="s">
        <v>185</v>
      </c>
      <c r="D50" s="8" t="s">
        <v>161</v>
      </c>
      <c r="E50" s="8" t="s">
        <v>128</v>
      </c>
      <c r="F50" s="16">
        <v>70535</v>
      </c>
      <c r="H50" s="13">
        <f t="shared" si="10"/>
        <v>70535</v>
      </c>
      <c r="I50" s="26"/>
      <c r="J50" s="26"/>
      <c r="K50" s="26"/>
      <c r="L50" s="8" t="s">
        <v>304</v>
      </c>
      <c r="M50" s="14">
        <f>Y50*Resumen!$C$6+AC50*Resumen!$C$7+AG50*Resumen!$C$9</f>
        <v>1</v>
      </c>
      <c r="N50" s="14">
        <f>Z50*Resumen!$C$6+AD50*Resumen!$C$7+AH50*Resumen!$C$9</f>
        <v>1</v>
      </c>
      <c r="O50" s="13">
        <f t="shared" si="11"/>
        <v>70535</v>
      </c>
      <c r="P50" s="13">
        <f t="shared" si="12"/>
        <v>70535</v>
      </c>
      <c r="Q50" s="27"/>
      <c r="R50" s="27"/>
      <c r="S50" s="27"/>
      <c r="T50" s="28"/>
      <c r="U50" s="13">
        <f>H50*((Q50="Oficial")*Resumen!$C$6+(R50="Oficial")*Resumen!$C$7+(S50="Oficial")*Resumen!$C$9)</f>
        <v>0</v>
      </c>
      <c r="V50" s="8" t="str">
        <f t="shared" si="13"/>
        <v>Sin evidencia municipal</v>
      </c>
      <c r="W50" s="8">
        <f>IF(I50="",SUMPRODUCT(($I$5:$I$69="")*($H$5:$H$69&lt;H50))+SUMPRODUCT((I$5:I50="")*($H$5:H50=H50)),"")</f>
        <v>23</v>
      </c>
      <c r="X50" s="8">
        <f>IF(I50="",SUMPRODUCT(($I$5:$I$69="")*($H$5:$H$69&gt;H50))+SUMPRODUCT((I$5:I50="")*($H$5:H50=H50)),"")</f>
        <v>6</v>
      </c>
      <c r="Y50" s="8">
        <f t="shared" si="14"/>
        <v>1</v>
      </c>
      <c r="Z50" s="8">
        <f t="shared" si="15"/>
        <v>1</v>
      </c>
      <c r="AA50" s="8">
        <f>IF(J50="",SUMPRODUCT(($J$5:$J$69="")*($H$5:$H$69&lt;H50))+SUMPRODUCT((J$5:J50="")*($H$5:H50=H50)),"")</f>
        <v>23</v>
      </c>
      <c r="AB50" s="8">
        <f>IF(J50="",SUMPRODUCT(($J$5:$J$69="")*($H$5:$H$69&gt;H50))+SUMPRODUCT((J$5:J50="")*($H$5:H50=H50)),"")</f>
        <v>7</v>
      </c>
      <c r="AC50" s="8">
        <f t="shared" si="16"/>
        <v>1</v>
      </c>
      <c r="AD50" s="8">
        <f t="shared" si="17"/>
        <v>1</v>
      </c>
      <c r="AE50" s="8">
        <f>IF(K50="",SUMPRODUCT(($K$5:$K$69="")*($H$5:$H$69&lt;H50))+SUMPRODUCT((K$5:K50="")*($H$5:H50=H50)),"")</f>
        <v>21</v>
      </c>
      <c r="AF50" s="8">
        <f>IF(K50="",SUMPRODUCT(($K$5:$K$69="")*($H$5:$H$69&gt;H50))+SUMPRODUCT((K$5:K50="")*($H$5:H50=H50)),"")</f>
        <v>10</v>
      </c>
      <c r="AG50" s="8">
        <f t="shared" si="18"/>
        <v>1</v>
      </c>
      <c r="AH50" s="8">
        <f t="shared" si="19"/>
        <v>1</v>
      </c>
    </row>
    <row r="51" spans="1:34" ht="35.1" customHeight="1" x14ac:dyDescent="0.25">
      <c r="A51" s="8" t="s">
        <v>230</v>
      </c>
      <c r="B51" s="8" t="s">
        <v>231</v>
      </c>
      <c r="C51" s="8" t="s">
        <v>138</v>
      </c>
      <c r="D51" s="8" t="s">
        <v>161</v>
      </c>
      <c r="E51" s="8" t="s">
        <v>128</v>
      </c>
      <c r="F51" s="16">
        <v>23361</v>
      </c>
      <c r="H51" s="13">
        <f t="shared" si="10"/>
        <v>23361</v>
      </c>
      <c r="I51" s="21">
        <v>1</v>
      </c>
      <c r="J51" s="21">
        <v>1</v>
      </c>
      <c r="K51" s="21">
        <v>1</v>
      </c>
      <c r="L51" s="8" t="s">
        <v>340</v>
      </c>
      <c r="M51" s="14">
        <f>Y51*Resumen!$C$6+AC51*Resumen!$C$7+AG51*Resumen!$C$9</f>
        <v>1</v>
      </c>
      <c r="N51" s="14">
        <f>Z51*Resumen!$C$6+AD51*Resumen!$C$7+AH51*Resumen!$C$9</f>
        <v>1</v>
      </c>
      <c r="O51" s="13">
        <f t="shared" si="11"/>
        <v>23361</v>
      </c>
      <c r="P51" s="13">
        <f t="shared" si="12"/>
        <v>23361</v>
      </c>
      <c r="Q51" s="21" t="s">
        <v>341</v>
      </c>
      <c r="R51" s="21" t="s">
        <v>341</v>
      </c>
      <c r="S51" s="21" t="s">
        <v>341</v>
      </c>
      <c r="T51" s="28"/>
      <c r="U51" s="13">
        <f>H51*((Q51="Oficial")*Resumen!$C$6+(R51="Oficial")*Resumen!$C$7+(S51="Oficial")*Resumen!$C$9)</f>
        <v>0</v>
      </c>
      <c r="V51" s="8" t="str">
        <f t="shared" si="13"/>
        <v>Con entregas verificadas</v>
      </c>
      <c r="W51" s="8" t="str">
        <f>IF(I51="",SUMPRODUCT(($I$5:$I$69="")*($H$5:$H$69&lt;H51))+SUMPRODUCT((I$5:I51="")*($H$5:H51=H51)),"")</f>
        <v/>
      </c>
      <c r="X51" s="8" t="str">
        <f>IF(I51="",SUMPRODUCT(($I$5:$I$69="")*($H$5:$H$69&gt;H51))+SUMPRODUCT((I$5:I51="")*($H$5:H51=H51)),"")</f>
        <v/>
      </c>
      <c r="Y51" s="8">
        <f t="shared" si="14"/>
        <v>1</v>
      </c>
      <c r="Z51" s="8">
        <f t="shared" si="15"/>
        <v>1</v>
      </c>
      <c r="AA51" s="8" t="str">
        <f>IF(J51="",SUMPRODUCT(($J$5:$J$69="")*($H$5:$H$69&lt;H51))+SUMPRODUCT((J$5:J51="")*($H$5:H51=H51)),"")</f>
        <v/>
      </c>
      <c r="AB51" s="8" t="str">
        <f>IF(J51="",SUMPRODUCT(($J$5:$J$69="")*($H$5:$H$69&gt;H51))+SUMPRODUCT((J$5:J51="")*($H$5:H51=H51)),"")</f>
        <v/>
      </c>
      <c r="AC51" s="8">
        <f t="shared" si="16"/>
        <v>1</v>
      </c>
      <c r="AD51" s="8">
        <f t="shared" si="17"/>
        <v>1</v>
      </c>
      <c r="AE51" s="8" t="str">
        <f>IF(K51="",SUMPRODUCT(($K$5:$K$69="")*($H$5:$H$69&lt;H51))+SUMPRODUCT((K$5:K51="")*($H$5:H51=H51)),"")</f>
        <v/>
      </c>
      <c r="AF51" s="8" t="str">
        <f>IF(K51="",SUMPRODUCT(($K$5:$K$69="")*($H$5:$H$69&gt;H51))+SUMPRODUCT((K$5:K51="")*($H$5:H51=H51)),"")</f>
        <v/>
      </c>
      <c r="AG51" s="8">
        <f t="shared" si="18"/>
        <v>1</v>
      </c>
      <c r="AH51" s="8">
        <f t="shared" si="19"/>
        <v>1</v>
      </c>
    </row>
    <row r="52" spans="1:34" ht="35.1" customHeight="1" x14ac:dyDescent="0.25">
      <c r="A52" s="8" t="s">
        <v>232</v>
      </c>
      <c r="B52" s="8" t="s">
        <v>233</v>
      </c>
      <c r="C52" s="8" t="s">
        <v>157</v>
      </c>
      <c r="D52" s="8" t="s">
        <v>161</v>
      </c>
      <c r="E52" s="8" t="s">
        <v>128</v>
      </c>
      <c r="F52" s="16">
        <v>42700</v>
      </c>
      <c r="G52" s="16">
        <v>42700.2</v>
      </c>
      <c r="H52" s="13">
        <f t="shared" si="10"/>
        <v>42700.2</v>
      </c>
      <c r="I52" s="21">
        <v>1</v>
      </c>
      <c r="J52" s="21">
        <v>1</v>
      </c>
      <c r="K52" s="21">
        <v>1</v>
      </c>
      <c r="L52" s="8" t="s">
        <v>340</v>
      </c>
      <c r="M52" s="14">
        <f>Y52*Resumen!$C$6+AC52*Resumen!$C$7+AG52*Resumen!$C$9</f>
        <v>1</v>
      </c>
      <c r="N52" s="14">
        <f>Z52*Resumen!$C$6+AD52*Resumen!$C$7+AH52*Resumen!$C$9</f>
        <v>1</v>
      </c>
      <c r="O52" s="13">
        <f t="shared" si="11"/>
        <v>42700.2</v>
      </c>
      <c r="P52" s="13">
        <f t="shared" si="12"/>
        <v>42700.2</v>
      </c>
      <c r="Q52" s="21" t="s">
        <v>341</v>
      </c>
      <c r="R52" s="21" t="s">
        <v>341</v>
      </c>
      <c r="S52" s="21" t="s">
        <v>341</v>
      </c>
      <c r="T52" s="28"/>
      <c r="U52" s="13">
        <f>H52*((Q52="Oficial")*Resumen!$C$6+(R52="Oficial")*Resumen!$C$7+(S52="Oficial")*Resumen!$C$9)</f>
        <v>0</v>
      </c>
      <c r="V52" s="8" t="str">
        <f t="shared" si="13"/>
        <v>Con entregas verificadas</v>
      </c>
      <c r="W52" s="8" t="str">
        <f>IF(I52="",SUMPRODUCT(($I$5:$I$69="")*($H$5:$H$69&lt;H52))+SUMPRODUCT((I$5:I52="")*($H$5:H52=H52)),"")</f>
        <v/>
      </c>
      <c r="X52" s="8" t="str">
        <f>IF(I52="",SUMPRODUCT(($I$5:$I$69="")*($H$5:$H$69&gt;H52))+SUMPRODUCT((I$5:I52="")*($H$5:H52=H52)),"")</f>
        <v/>
      </c>
      <c r="Y52" s="8">
        <f t="shared" si="14"/>
        <v>1</v>
      </c>
      <c r="Z52" s="8">
        <f t="shared" si="15"/>
        <v>1</v>
      </c>
      <c r="AA52" s="8" t="str">
        <f>IF(J52="",SUMPRODUCT(($J$5:$J$69="")*($H$5:$H$69&lt;H52))+SUMPRODUCT((J$5:J52="")*($H$5:H52=H52)),"")</f>
        <v/>
      </c>
      <c r="AB52" s="8" t="str">
        <f>IF(J52="",SUMPRODUCT(($J$5:$J$69="")*($H$5:$H$69&gt;H52))+SUMPRODUCT((J$5:J52="")*($H$5:H52=H52)),"")</f>
        <v/>
      </c>
      <c r="AC52" s="8">
        <f t="shared" si="16"/>
        <v>1</v>
      </c>
      <c r="AD52" s="8">
        <f t="shared" si="17"/>
        <v>1</v>
      </c>
      <c r="AE52" s="8" t="str">
        <f>IF(K52="",SUMPRODUCT(($K$5:$K$69="")*($H$5:$H$69&lt;H52))+SUMPRODUCT((K$5:K52="")*($H$5:H52=H52)),"")</f>
        <v/>
      </c>
      <c r="AF52" s="8" t="str">
        <f>IF(K52="",SUMPRODUCT(($K$5:$K$69="")*($H$5:$H$69&gt;H52))+SUMPRODUCT((K$5:K52="")*($H$5:H52=H52)),"")</f>
        <v/>
      </c>
      <c r="AG52" s="8">
        <f t="shared" si="18"/>
        <v>1</v>
      </c>
      <c r="AH52" s="8">
        <f t="shared" si="19"/>
        <v>1</v>
      </c>
    </row>
    <row r="53" spans="1:34" ht="23.85" customHeight="1" x14ac:dyDescent="0.25">
      <c r="A53" s="8" t="s">
        <v>234</v>
      </c>
      <c r="B53" s="8" t="s">
        <v>235</v>
      </c>
      <c r="C53" s="8" t="s">
        <v>138</v>
      </c>
      <c r="D53" s="8" t="s">
        <v>161</v>
      </c>
      <c r="E53" s="8" t="s">
        <v>128</v>
      </c>
      <c r="F53" s="16">
        <v>86571</v>
      </c>
      <c r="H53" s="13">
        <f t="shared" si="10"/>
        <v>86571</v>
      </c>
      <c r="I53" s="21">
        <v>1</v>
      </c>
      <c r="J53" s="21">
        <v>1</v>
      </c>
      <c r="K53" s="26"/>
      <c r="L53" s="8" t="s">
        <v>352</v>
      </c>
      <c r="M53" s="14">
        <f>Y53*Resumen!$C$6+AC53*Resumen!$C$7+AG53*Resumen!$C$9</f>
        <v>1</v>
      </c>
      <c r="N53" s="14">
        <f>Z53*Resumen!$C$6+AD53*Resumen!$C$7+AH53*Resumen!$C$9</f>
        <v>1</v>
      </c>
      <c r="O53" s="13">
        <f t="shared" si="11"/>
        <v>86571</v>
      </c>
      <c r="P53" s="13">
        <f t="shared" si="12"/>
        <v>86571</v>
      </c>
      <c r="Q53" s="21" t="s">
        <v>341</v>
      </c>
      <c r="R53" s="21" t="s">
        <v>341</v>
      </c>
      <c r="S53" s="27"/>
      <c r="T53" s="28"/>
      <c r="U53" s="13">
        <f>H53*((Q53="Oficial")*Resumen!$C$6+(R53="Oficial")*Resumen!$C$7+(S53="Oficial")*Resumen!$C$9)</f>
        <v>0</v>
      </c>
      <c r="V53" s="8" t="str">
        <f t="shared" si="13"/>
        <v>Con entregas verificadas</v>
      </c>
      <c r="W53" s="8" t="str">
        <f>IF(I53="",SUMPRODUCT(($I$5:$I$69="")*($H$5:$H$69&lt;H53))+SUMPRODUCT((I$5:I53="")*($H$5:H53=H53)),"")</f>
        <v/>
      </c>
      <c r="X53" s="8" t="str">
        <f>IF(I53="",SUMPRODUCT(($I$5:$I$69="")*($H$5:$H$69&gt;H53))+SUMPRODUCT((I$5:I53="")*($H$5:H53=H53)),"")</f>
        <v/>
      </c>
      <c r="Y53" s="8">
        <f t="shared" si="14"/>
        <v>1</v>
      </c>
      <c r="Z53" s="8">
        <f t="shared" si="15"/>
        <v>1</v>
      </c>
      <c r="AA53" s="8" t="str">
        <f>IF(J53="",SUMPRODUCT(($J$5:$J$69="")*($H$5:$H$69&lt;H53))+SUMPRODUCT((J$5:J53="")*($H$5:H53=H53)),"")</f>
        <v/>
      </c>
      <c r="AB53" s="8" t="str">
        <f>IF(J53="",SUMPRODUCT(($J$5:$J$69="")*($H$5:$H$69&gt;H53))+SUMPRODUCT((J$5:J53="")*($H$5:H53=H53)),"")</f>
        <v/>
      </c>
      <c r="AC53" s="8">
        <f t="shared" si="16"/>
        <v>1</v>
      </c>
      <c r="AD53" s="8">
        <f t="shared" si="17"/>
        <v>1</v>
      </c>
      <c r="AE53" s="8">
        <f>IF(K53="",SUMPRODUCT(($K$5:$K$69="")*($H$5:$H$69&lt;H53))+SUMPRODUCT((K$5:K53="")*($H$5:H53=H53)),"")</f>
        <v>24</v>
      </c>
      <c r="AF53" s="8">
        <f>IF(K53="",SUMPRODUCT(($K$5:$K$69="")*($H$5:$H$69&gt;H53))+SUMPRODUCT((K$5:K53="")*($H$5:H53=H53)),"")</f>
        <v>7</v>
      </c>
      <c r="AG53" s="8">
        <f t="shared" si="18"/>
        <v>1</v>
      </c>
      <c r="AH53" s="8">
        <f t="shared" si="19"/>
        <v>1</v>
      </c>
    </row>
    <row r="54" spans="1:34" ht="15" customHeight="1" x14ac:dyDescent="0.25">
      <c r="A54" s="8" t="s">
        <v>236</v>
      </c>
      <c r="B54" s="8" t="s">
        <v>237</v>
      </c>
      <c r="C54" s="8" t="s">
        <v>157</v>
      </c>
      <c r="D54" s="8" t="s">
        <v>161</v>
      </c>
      <c r="E54" s="8" t="s">
        <v>128</v>
      </c>
      <c r="F54" s="16">
        <v>26674</v>
      </c>
      <c r="H54" s="13">
        <f t="shared" si="10"/>
        <v>26674</v>
      </c>
      <c r="I54" s="26"/>
      <c r="J54" s="26"/>
      <c r="K54" s="21">
        <v>1</v>
      </c>
      <c r="L54" s="8" t="s">
        <v>359</v>
      </c>
      <c r="M54" s="14">
        <f>Y54*Resumen!$C$6+AC54*Resumen!$C$7+AG54*Resumen!$C$9</f>
        <v>1</v>
      </c>
      <c r="N54" s="14">
        <f>Z54*Resumen!$C$6+AD54*Resumen!$C$7+AH54*Resumen!$C$9</f>
        <v>1</v>
      </c>
      <c r="O54" s="13">
        <f t="shared" si="11"/>
        <v>26674</v>
      </c>
      <c r="P54" s="13">
        <f t="shared" si="12"/>
        <v>26674</v>
      </c>
      <c r="Q54" s="27"/>
      <c r="R54" s="27"/>
      <c r="S54" s="21" t="s">
        <v>341</v>
      </c>
      <c r="T54" s="28"/>
      <c r="U54" s="13">
        <f>H54*((Q54="Oficial")*Resumen!$C$6+(R54="Oficial")*Resumen!$C$7+(S54="Oficial")*Resumen!$C$9)</f>
        <v>0</v>
      </c>
      <c r="V54" s="8" t="str">
        <f t="shared" si="13"/>
        <v>Con entregas verificadas</v>
      </c>
      <c r="W54" s="8">
        <f>IF(I54="",SUMPRODUCT(($I$5:$I$69="")*($H$5:$H$69&lt;H54))+SUMPRODUCT((I$5:I54="")*($H$5:H54=H54)),"")</f>
        <v>11</v>
      </c>
      <c r="X54" s="8">
        <f>IF(I54="",SUMPRODUCT(($I$5:$I$69="")*($H$5:$H$69&gt;H54))+SUMPRODUCT((I$5:I54="")*($H$5:H54=H54)),"")</f>
        <v>18</v>
      </c>
      <c r="Y54" s="8">
        <f t="shared" si="14"/>
        <v>1</v>
      </c>
      <c r="Z54" s="8">
        <f t="shared" si="15"/>
        <v>1</v>
      </c>
      <c r="AA54" s="8">
        <f>IF(J54="",SUMPRODUCT(($J$5:$J$69="")*($H$5:$H$69&lt;H54))+SUMPRODUCT((J$5:J54="")*($H$5:H54=H54)),"")</f>
        <v>11</v>
      </c>
      <c r="AB54" s="8">
        <f>IF(J54="",SUMPRODUCT(($J$5:$J$69="")*($H$5:$H$69&gt;H54))+SUMPRODUCT((J$5:J54="")*($H$5:H54=H54)),"")</f>
        <v>19</v>
      </c>
      <c r="AC54" s="8">
        <f t="shared" si="16"/>
        <v>1</v>
      </c>
      <c r="AD54" s="8">
        <f t="shared" si="17"/>
        <v>1</v>
      </c>
      <c r="AE54" s="8" t="str">
        <f>IF(K54="",SUMPRODUCT(($K$5:$K$69="")*($H$5:$H$69&lt;H54))+SUMPRODUCT((K$5:K54="")*($H$5:H54=H54)),"")</f>
        <v/>
      </c>
      <c r="AF54" s="8" t="str">
        <f>IF(K54="",SUMPRODUCT(($K$5:$K$69="")*($H$5:$H$69&gt;H54))+SUMPRODUCT((K$5:K54="")*($H$5:H54=H54)),"")</f>
        <v/>
      </c>
      <c r="AG54" s="8">
        <f t="shared" si="18"/>
        <v>1</v>
      </c>
      <c r="AH54" s="8">
        <f t="shared" si="19"/>
        <v>1</v>
      </c>
    </row>
    <row r="55" spans="1:34" ht="35.1" customHeight="1" x14ac:dyDescent="0.25">
      <c r="A55" s="8" t="s">
        <v>238</v>
      </c>
      <c r="B55" s="8" t="s">
        <v>239</v>
      </c>
      <c r="C55" s="8" t="s">
        <v>180</v>
      </c>
      <c r="D55" s="8" t="s">
        <v>161</v>
      </c>
      <c r="E55" s="8" t="s">
        <v>128</v>
      </c>
      <c r="F55" s="16">
        <v>115340</v>
      </c>
      <c r="H55" s="13">
        <f t="shared" si="10"/>
        <v>115340</v>
      </c>
      <c r="I55" s="21">
        <v>0</v>
      </c>
      <c r="J55" s="21">
        <v>0</v>
      </c>
      <c r="K55" s="21">
        <v>0</v>
      </c>
      <c r="L55" s="8" t="s">
        <v>353</v>
      </c>
      <c r="M55" s="14">
        <f>Y55*Resumen!$C$6+AC55*Resumen!$C$7+AG55*Resumen!$C$9</f>
        <v>0</v>
      </c>
      <c r="N55" s="14">
        <f>Z55*Resumen!$C$6+AD55*Resumen!$C$7+AH55*Resumen!$C$9</f>
        <v>0</v>
      </c>
      <c r="O55" s="13">
        <f t="shared" si="11"/>
        <v>0</v>
      </c>
      <c r="P55" s="13">
        <f t="shared" si="12"/>
        <v>0</v>
      </c>
      <c r="Q55" s="27"/>
      <c r="R55" s="27"/>
      <c r="S55" s="27"/>
      <c r="T55" s="8" t="s">
        <v>360</v>
      </c>
      <c r="U55" s="13">
        <f>H55*((Q55="Oficial")*Resumen!$C$6+(R55="Oficial")*Resumen!$C$7+(S55="Oficial")*Resumen!$C$9)</f>
        <v>0</v>
      </c>
      <c r="V55" s="8" t="str">
        <f t="shared" si="13"/>
        <v>Sin entregas</v>
      </c>
      <c r="W55" s="8" t="str">
        <f>IF(I55="",SUMPRODUCT(($I$5:$I$69="")*($H$5:$H$69&lt;H55))+SUMPRODUCT((I$5:I55="")*($H$5:H55=H55)),"")</f>
        <v/>
      </c>
      <c r="X55" s="8" t="str">
        <f>IF(I55="",SUMPRODUCT(($I$5:$I$69="")*($H$5:$H$69&gt;H55))+SUMPRODUCT((I$5:I55="")*($H$5:H55=H55)),"")</f>
        <v/>
      </c>
      <c r="Y55" s="8">
        <f t="shared" si="14"/>
        <v>0</v>
      </c>
      <c r="Z55" s="8">
        <f t="shared" si="15"/>
        <v>0</v>
      </c>
      <c r="AA55" s="8" t="str">
        <f>IF(J55="",SUMPRODUCT(($J$5:$J$69="")*($H$5:$H$69&lt;H55))+SUMPRODUCT((J$5:J55="")*($H$5:H55=H55)),"")</f>
        <v/>
      </c>
      <c r="AB55" s="8" t="str">
        <f>IF(J55="",SUMPRODUCT(($J$5:$J$69="")*($H$5:$H$69&gt;H55))+SUMPRODUCT((J$5:J55="")*($H$5:H55=H55)),"")</f>
        <v/>
      </c>
      <c r="AC55" s="8">
        <f t="shared" si="16"/>
        <v>0</v>
      </c>
      <c r="AD55" s="8">
        <f t="shared" si="17"/>
        <v>0</v>
      </c>
      <c r="AE55" s="8" t="str">
        <f>IF(K55="",SUMPRODUCT(($K$5:$K$69="")*($H$5:$H$69&lt;H55))+SUMPRODUCT((K$5:K55="")*($H$5:H55=H55)),"")</f>
        <v/>
      </c>
      <c r="AF55" s="8" t="str">
        <f>IF(K55="",SUMPRODUCT(($K$5:$K$69="")*($H$5:$H$69&gt;H55))+SUMPRODUCT((K$5:K55="")*($H$5:H55=H55)),"")</f>
        <v/>
      </c>
      <c r="AG55" s="8">
        <f t="shared" si="18"/>
        <v>0</v>
      </c>
      <c r="AH55" s="8">
        <f t="shared" si="19"/>
        <v>0</v>
      </c>
    </row>
    <row r="56" spans="1:34" ht="35.1" customHeight="1" x14ac:dyDescent="0.25">
      <c r="A56" s="8" t="s">
        <v>240</v>
      </c>
      <c r="B56" s="8" t="s">
        <v>241</v>
      </c>
      <c r="C56" s="8" t="s">
        <v>138</v>
      </c>
      <c r="D56" s="8" t="s">
        <v>161</v>
      </c>
      <c r="E56" s="8" t="s">
        <v>128</v>
      </c>
      <c r="F56" s="16">
        <v>13442</v>
      </c>
      <c r="H56" s="13">
        <f t="shared" si="10"/>
        <v>13442</v>
      </c>
      <c r="I56" s="21">
        <v>1</v>
      </c>
      <c r="J56" s="21">
        <v>1</v>
      </c>
      <c r="K56" s="21">
        <v>1</v>
      </c>
      <c r="L56" s="8" t="s">
        <v>344</v>
      </c>
      <c r="M56" s="14">
        <f>Y56*Resumen!$C$6+AC56*Resumen!$C$7+AG56*Resumen!$C$9</f>
        <v>1</v>
      </c>
      <c r="N56" s="14">
        <f>Z56*Resumen!$C$6+AD56*Resumen!$C$7+AH56*Resumen!$C$9</f>
        <v>1</v>
      </c>
      <c r="O56" s="13">
        <f t="shared" si="11"/>
        <v>13442</v>
      </c>
      <c r="P56" s="13">
        <f t="shared" si="12"/>
        <v>13442</v>
      </c>
      <c r="Q56" s="21" t="s">
        <v>345</v>
      </c>
      <c r="R56" s="21" t="s">
        <v>341</v>
      </c>
      <c r="S56" s="21" t="s">
        <v>343</v>
      </c>
      <c r="T56" s="28"/>
      <c r="U56" s="13">
        <f>H56*((Q56="Oficial")*Resumen!$C$6+(R56="Oficial")*Resumen!$C$7+(S56="Oficial")*Resumen!$C$9)</f>
        <v>6048.9000000000005</v>
      </c>
      <c r="V56" s="8" t="str">
        <f t="shared" si="13"/>
        <v>Con entregas verificadas</v>
      </c>
      <c r="W56" s="8" t="str">
        <f>IF(I56="",SUMPRODUCT(($I$5:$I$69="")*($H$5:$H$69&lt;H56))+SUMPRODUCT((I$5:I56="")*($H$5:H56=H56)),"")</f>
        <v/>
      </c>
      <c r="X56" s="8" t="str">
        <f>IF(I56="",SUMPRODUCT(($I$5:$I$69="")*($H$5:$H$69&gt;H56))+SUMPRODUCT((I$5:I56="")*($H$5:H56=H56)),"")</f>
        <v/>
      </c>
      <c r="Y56" s="8">
        <f t="shared" si="14"/>
        <v>1</v>
      </c>
      <c r="Z56" s="8">
        <f t="shared" si="15"/>
        <v>1</v>
      </c>
      <c r="AA56" s="8" t="str">
        <f>IF(J56="",SUMPRODUCT(($J$5:$J$69="")*($H$5:$H$69&lt;H56))+SUMPRODUCT((J$5:J56="")*($H$5:H56=H56)),"")</f>
        <v/>
      </c>
      <c r="AB56" s="8" t="str">
        <f>IF(J56="",SUMPRODUCT(($J$5:$J$69="")*($H$5:$H$69&gt;H56))+SUMPRODUCT((J$5:J56="")*($H$5:H56=H56)),"")</f>
        <v/>
      </c>
      <c r="AC56" s="8">
        <f t="shared" si="16"/>
        <v>1</v>
      </c>
      <c r="AD56" s="8">
        <f t="shared" si="17"/>
        <v>1</v>
      </c>
      <c r="AE56" s="8" t="str">
        <f>IF(K56="",SUMPRODUCT(($K$5:$K$69="")*($H$5:$H$69&lt;H56))+SUMPRODUCT((K$5:K56="")*($H$5:H56=H56)),"")</f>
        <v/>
      </c>
      <c r="AF56" s="8" t="str">
        <f>IF(K56="",SUMPRODUCT(($K$5:$K$69="")*($H$5:$H$69&gt;H56))+SUMPRODUCT((K$5:K56="")*($H$5:H56=H56)),"")</f>
        <v/>
      </c>
      <c r="AG56" s="8">
        <f t="shared" si="18"/>
        <v>1</v>
      </c>
      <c r="AH56" s="8">
        <f t="shared" si="19"/>
        <v>1</v>
      </c>
    </row>
    <row r="57" spans="1:34" ht="35.1" customHeight="1" x14ac:dyDescent="0.25">
      <c r="A57" s="8" t="s">
        <v>242</v>
      </c>
      <c r="B57" s="8" t="s">
        <v>243</v>
      </c>
      <c r="C57" s="8" t="s">
        <v>185</v>
      </c>
      <c r="D57" s="8" t="s">
        <v>161</v>
      </c>
      <c r="E57" s="8" t="s">
        <v>128</v>
      </c>
      <c r="F57" s="16">
        <v>294751</v>
      </c>
      <c r="H57" s="13">
        <f t="shared" si="10"/>
        <v>294751</v>
      </c>
      <c r="I57" s="21">
        <v>0</v>
      </c>
      <c r="J57" s="21">
        <v>0</v>
      </c>
      <c r="K57" s="21">
        <v>0</v>
      </c>
      <c r="L57" s="8" t="s">
        <v>353</v>
      </c>
      <c r="M57" s="14">
        <f>Y57*Resumen!$C$6+AC57*Resumen!$C$7+AG57*Resumen!$C$9</f>
        <v>0</v>
      </c>
      <c r="N57" s="14">
        <f>Z57*Resumen!$C$6+AD57*Resumen!$C$7+AH57*Resumen!$C$9</f>
        <v>0</v>
      </c>
      <c r="O57" s="13">
        <f t="shared" si="11"/>
        <v>0</v>
      </c>
      <c r="P57" s="13">
        <f t="shared" si="12"/>
        <v>0</v>
      </c>
      <c r="Q57" s="27"/>
      <c r="R57" s="27"/>
      <c r="S57" s="27"/>
      <c r="T57" s="8" t="s">
        <v>361</v>
      </c>
      <c r="U57" s="13">
        <f>H57*((Q57="Oficial")*Resumen!$C$6+(R57="Oficial")*Resumen!$C$7+(S57="Oficial")*Resumen!$C$9)</f>
        <v>0</v>
      </c>
      <c r="V57" s="8" t="str">
        <f t="shared" si="13"/>
        <v>Sin entregas</v>
      </c>
      <c r="W57" s="8" t="str">
        <f>IF(I57="",SUMPRODUCT(($I$5:$I$69="")*($H$5:$H$69&lt;H57))+SUMPRODUCT((I$5:I57="")*($H$5:H57=H57)),"")</f>
        <v/>
      </c>
      <c r="X57" s="8" t="str">
        <f>IF(I57="",SUMPRODUCT(($I$5:$I$69="")*($H$5:$H$69&gt;H57))+SUMPRODUCT((I$5:I57="")*($H$5:H57=H57)),"")</f>
        <v/>
      </c>
      <c r="Y57" s="8">
        <f t="shared" si="14"/>
        <v>0</v>
      </c>
      <c r="Z57" s="8">
        <f t="shared" si="15"/>
        <v>0</v>
      </c>
      <c r="AA57" s="8" t="str">
        <f>IF(J57="",SUMPRODUCT(($J$5:$J$69="")*($H$5:$H$69&lt;H57))+SUMPRODUCT((J$5:J57="")*($H$5:H57=H57)),"")</f>
        <v/>
      </c>
      <c r="AB57" s="8" t="str">
        <f>IF(J57="",SUMPRODUCT(($J$5:$J$69="")*($H$5:$H$69&gt;H57))+SUMPRODUCT((J$5:J57="")*($H$5:H57=H57)),"")</f>
        <v/>
      </c>
      <c r="AC57" s="8">
        <f t="shared" si="16"/>
        <v>0</v>
      </c>
      <c r="AD57" s="8">
        <f t="shared" si="17"/>
        <v>0</v>
      </c>
      <c r="AE57" s="8" t="str">
        <f>IF(K57="",SUMPRODUCT(($K$5:$K$69="")*($H$5:$H$69&lt;H57))+SUMPRODUCT((K$5:K57="")*($H$5:H57=H57)),"")</f>
        <v/>
      </c>
      <c r="AF57" s="8" t="str">
        <f>IF(K57="",SUMPRODUCT(($K$5:$K$69="")*($H$5:$H$69&gt;H57))+SUMPRODUCT((K$5:K57="")*($H$5:H57=H57)),"")</f>
        <v/>
      </c>
      <c r="AG57" s="8">
        <f t="shared" si="18"/>
        <v>0</v>
      </c>
      <c r="AH57" s="8">
        <f t="shared" si="19"/>
        <v>0</v>
      </c>
    </row>
    <row r="58" spans="1:34" ht="15" customHeight="1" x14ac:dyDescent="0.25">
      <c r="A58" s="8" t="s">
        <v>244</v>
      </c>
      <c r="B58" s="8" t="s">
        <v>245</v>
      </c>
      <c r="C58" s="8" t="s">
        <v>149</v>
      </c>
      <c r="D58" s="8" t="s">
        <v>161</v>
      </c>
      <c r="E58" s="8" t="s">
        <v>128</v>
      </c>
      <c r="F58" s="16">
        <v>26594</v>
      </c>
      <c r="H58" s="13">
        <f t="shared" si="10"/>
        <v>26594</v>
      </c>
      <c r="I58" s="26"/>
      <c r="J58" s="26"/>
      <c r="K58" s="26"/>
      <c r="L58" s="8" t="s">
        <v>304</v>
      </c>
      <c r="M58" s="14">
        <f>Y58*Resumen!$C$6+AC58*Resumen!$C$7+AG58*Resumen!$C$9</f>
        <v>1</v>
      </c>
      <c r="N58" s="14">
        <f>Z58*Resumen!$C$6+AD58*Resumen!$C$7+AH58*Resumen!$C$9</f>
        <v>1</v>
      </c>
      <c r="O58" s="13">
        <f t="shared" si="11"/>
        <v>26594</v>
      </c>
      <c r="P58" s="13">
        <f t="shared" si="12"/>
        <v>26594</v>
      </c>
      <c r="Q58" s="27"/>
      <c r="R58" s="27"/>
      <c r="S58" s="27"/>
      <c r="T58" s="28"/>
      <c r="U58" s="13">
        <f>H58*((Q58="Oficial")*Resumen!$C$6+(R58="Oficial")*Resumen!$C$7+(S58="Oficial")*Resumen!$C$9)</f>
        <v>0</v>
      </c>
      <c r="V58" s="8" t="str">
        <f t="shared" si="13"/>
        <v>Sin evidencia municipal</v>
      </c>
      <c r="W58" s="8">
        <f>IF(I58="",SUMPRODUCT(($I$5:$I$69="")*($H$5:$H$69&lt;H58))+SUMPRODUCT((I$5:I58="")*($H$5:H58=H58)),"")</f>
        <v>10</v>
      </c>
      <c r="X58" s="8">
        <f>IF(I58="",SUMPRODUCT(($I$5:$I$69="")*($H$5:$H$69&gt;H58))+SUMPRODUCT((I$5:I58="")*($H$5:H58=H58)),"")</f>
        <v>19</v>
      </c>
      <c r="Y58" s="8">
        <f t="shared" si="14"/>
        <v>1</v>
      </c>
      <c r="Z58" s="8">
        <f t="shared" si="15"/>
        <v>1</v>
      </c>
      <c r="AA58" s="8">
        <f>IF(J58="",SUMPRODUCT(($J$5:$J$69="")*($H$5:$H$69&lt;H58))+SUMPRODUCT((J$5:J58="")*($H$5:H58=H58)),"")</f>
        <v>10</v>
      </c>
      <c r="AB58" s="8">
        <f>IF(J58="",SUMPRODUCT(($J$5:$J$69="")*($H$5:$H$69&gt;H58))+SUMPRODUCT((J$5:J58="")*($H$5:H58=H58)),"")</f>
        <v>20</v>
      </c>
      <c r="AC58" s="8">
        <f t="shared" si="16"/>
        <v>1</v>
      </c>
      <c r="AD58" s="8">
        <f t="shared" si="17"/>
        <v>1</v>
      </c>
      <c r="AE58" s="8">
        <f>IF(K58="",SUMPRODUCT(($K$5:$K$69="")*($H$5:$H$69&lt;H58))+SUMPRODUCT((K$5:K58="")*($H$5:H58=H58)),"")</f>
        <v>9</v>
      </c>
      <c r="AF58" s="8">
        <f>IF(K58="",SUMPRODUCT(($K$5:$K$69="")*($H$5:$H$69&gt;H58))+SUMPRODUCT((K$5:K58="")*($H$5:H58=H58)),"")</f>
        <v>22</v>
      </c>
      <c r="AG58" s="8">
        <f t="shared" si="18"/>
        <v>1</v>
      </c>
      <c r="AH58" s="8">
        <f t="shared" si="19"/>
        <v>1</v>
      </c>
    </row>
    <row r="59" spans="1:34" ht="35.1" customHeight="1" x14ac:dyDescent="0.25">
      <c r="A59" s="8" t="s">
        <v>246</v>
      </c>
      <c r="B59" s="8" t="s">
        <v>247</v>
      </c>
      <c r="C59" s="8" t="s">
        <v>138</v>
      </c>
      <c r="D59" s="8" t="s">
        <v>161</v>
      </c>
      <c r="E59" s="8" t="s">
        <v>128</v>
      </c>
      <c r="F59" s="16">
        <v>56748</v>
      </c>
      <c r="H59" s="13">
        <f t="shared" si="10"/>
        <v>56748</v>
      </c>
      <c r="I59" s="21">
        <v>0</v>
      </c>
      <c r="J59" s="21">
        <v>0</v>
      </c>
      <c r="K59" s="21">
        <v>0</v>
      </c>
      <c r="L59" s="8" t="s">
        <v>353</v>
      </c>
      <c r="M59" s="14">
        <f>Y59*Resumen!$C$6+AC59*Resumen!$C$7+AG59*Resumen!$C$9</f>
        <v>0</v>
      </c>
      <c r="N59" s="14">
        <f>Z59*Resumen!$C$6+AD59*Resumen!$C$7+AH59*Resumen!$C$9</f>
        <v>0</v>
      </c>
      <c r="O59" s="13">
        <f t="shared" si="11"/>
        <v>0</v>
      </c>
      <c r="P59" s="13">
        <f t="shared" si="12"/>
        <v>0</v>
      </c>
      <c r="Q59" s="27"/>
      <c r="R59" s="27"/>
      <c r="S59" s="27"/>
      <c r="T59" s="8" t="s">
        <v>362</v>
      </c>
      <c r="U59" s="13">
        <f>H59*((Q59="Oficial")*Resumen!$C$6+(R59="Oficial")*Resumen!$C$7+(S59="Oficial")*Resumen!$C$9)</f>
        <v>0</v>
      </c>
      <c r="V59" s="8" t="str">
        <f t="shared" si="13"/>
        <v>Sin entregas</v>
      </c>
      <c r="W59" s="8" t="str">
        <f>IF(I59="",SUMPRODUCT(($I$5:$I$69="")*($H$5:$H$69&lt;H59))+SUMPRODUCT((I$5:I59="")*($H$5:H59=H59)),"")</f>
        <v/>
      </c>
      <c r="X59" s="8" t="str">
        <f>IF(I59="",SUMPRODUCT(($I$5:$I$69="")*($H$5:$H$69&gt;H59))+SUMPRODUCT((I$5:I59="")*($H$5:H59=H59)),"")</f>
        <v/>
      </c>
      <c r="Y59" s="8">
        <f t="shared" si="14"/>
        <v>0</v>
      </c>
      <c r="Z59" s="8">
        <f t="shared" si="15"/>
        <v>0</v>
      </c>
      <c r="AA59" s="8" t="str">
        <f>IF(J59="",SUMPRODUCT(($J$5:$J$69="")*($H$5:$H$69&lt;H59))+SUMPRODUCT((J$5:J59="")*($H$5:H59=H59)),"")</f>
        <v/>
      </c>
      <c r="AB59" s="8" t="str">
        <f>IF(J59="",SUMPRODUCT(($J$5:$J$69="")*($H$5:$H$69&gt;H59))+SUMPRODUCT((J$5:J59="")*($H$5:H59=H59)),"")</f>
        <v/>
      </c>
      <c r="AC59" s="8">
        <f t="shared" si="16"/>
        <v>0</v>
      </c>
      <c r="AD59" s="8">
        <f t="shared" si="17"/>
        <v>0</v>
      </c>
      <c r="AE59" s="8" t="str">
        <f>IF(K59="",SUMPRODUCT(($K$5:$K$69="")*($H$5:$H$69&lt;H59))+SUMPRODUCT((K$5:K59="")*($H$5:H59=H59)),"")</f>
        <v/>
      </c>
      <c r="AF59" s="8" t="str">
        <f>IF(K59="",SUMPRODUCT(($K$5:$K$69="")*($H$5:$H$69&gt;H59))+SUMPRODUCT((K$5:K59="")*($H$5:H59=H59)),"")</f>
        <v/>
      </c>
      <c r="AG59" s="8">
        <f t="shared" si="18"/>
        <v>0</v>
      </c>
      <c r="AH59" s="8">
        <f t="shared" si="19"/>
        <v>0</v>
      </c>
    </row>
    <row r="60" spans="1:34" ht="15" customHeight="1" x14ac:dyDescent="0.25">
      <c r="A60" s="8" t="s">
        <v>248</v>
      </c>
      <c r="B60" s="8" t="s">
        <v>249</v>
      </c>
      <c r="C60" s="8" t="s">
        <v>138</v>
      </c>
      <c r="D60" s="8" t="s">
        <v>161</v>
      </c>
      <c r="E60" s="8" t="s">
        <v>128</v>
      </c>
      <c r="F60" s="16">
        <v>71233</v>
      </c>
      <c r="H60" s="13">
        <f t="shared" si="10"/>
        <v>71233</v>
      </c>
      <c r="I60" s="26"/>
      <c r="J60" s="26"/>
      <c r="K60" s="26"/>
      <c r="L60" s="8" t="s">
        <v>304</v>
      </c>
      <c r="M60" s="14">
        <f>Y60*Resumen!$C$6+AC60*Resumen!$C$7+AG60*Resumen!$C$9</f>
        <v>1</v>
      </c>
      <c r="N60" s="14">
        <f>Z60*Resumen!$C$6+AD60*Resumen!$C$7+AH60*Resumen!$C$9</f>
        <v>1</v>
      </c>
      <c r="O60" s="13">
        <f t="shared" si="11"/>
        <v>71233</v>
      </c>
      <c r="P60" s="13">
        <f t="shared" si="12"/>
        <v>71233</v>
      </c>
      <c r="Q60" s="27"/>
      <c r="R60" s="27"/>
      <c r="S60" s="27"/>
      <c r="T60" s="28"/>
      <c r="U60" s="13">
        <f>H60*((Q60="Oficial")*Resumen!$C$6+(R60="Oficial")*Resumen!$C$7+(S60="Oficial")*Resumen!$C$9)</f>
        <v>0</v>
      </c>
      <c r="V60" s="8" t="str">
        <f t="shared" si="13"/>
        <v>Sin evidencia municipal</v>
      </c>
      <c r="W60" s="8">
        <f>IF(I60="",SUMPRODUCT(($I$5:$I$69="")*($H$5:$H$69&lt;H60))+SUMPRODUCT((I$5:I60="")*($H$5:H60=H60)),"")</f>
        <v>24</v>
      </c>
      <c r="X60" s="8">
        <f>IF(I60="",SUMPRODUCT(($I$5:$I$69="")*($H$5:$H$69&gt;H60))+SUMPRODUCT((I$5:I60="")*($H$5:H60=H60)),"")</f>
        <v>5</v>
      </c>
      <c r="Y60" s="8">
        <f t="shared" si="14"/>
        <v>1</v>
      </c>
      <c r="Z60" s="8">
        <f t="shared" si="15"/>
        <v>1</v>
      </c>
      <c r="AA60" s="8">
        <f>IF(J60="",SUMPRODUCT(($J$5:$J$69="")*($H$5:$H$69&lt;H60))+SUMPRODUCT((J$5:J60="")*($H$5:H60=H60)),"")</f>
        <v>24</v>
      </c>
      <c r="AB60" s="8">
        <f>IF(J60="",SUMPRODUCT(($J$5:$J$69="")*($H$5:$H$69&gt;H60))+SUMPRODUCT((J$5:J60="")*($H$5:H60=H60)),"")</f>
        <v>6</v>
      </c>
      <c r="AC60" s="8">
        <f t="shared" si="16"/>
        <v>1</v>
      </c>
      <c r="AD60" s="8">
        <f t="shared" si="17"/>
        <v>1</v>
      </c>
      <c r="AE60" s="8">
        <f>IF(K60="",SUMPRODUCT(($K$5:$K$69="")*($H$5:$H$69&lt;H60))+SUMPRODUCT((K$5:K60="")*($H$5:H60=H60)),"")</f>
        <v>22</v>
      </c>
      <c r="AF60" s="8">
        <f>IF(K60="",SUMPRODUCT(($K$5:$K$69="")*($H$5:$H$69&gt;H60))+SUMPRODUCT((K$5:K60="")*($H$5:H60=H60)),"")</f>
        <v>9</v>
      </c>
      <c r="AG60" s="8">
        <f t="shared" si="18"/>
        <v>1</v>
      </c>
      <c r="AH60" s="8">
        <f t="shared" si="19"/>
        <v>1</v>
      </c>
    </row>
    <row r="61" spans="1:34" ht="15" customHeight="1" x14ac:dyDescent="0.25">
      <c r="A61" s="8" t="s">
        <v>250</v>
      </c>
      <c r="B61" s="8" t="s">
        <v>251</v>
      </c>
      <c r="C61" s="8" t="s">
        <v>177</v>
      </c>
      <c r="D61" s="8" t="s">
        <v>161</v>
      </c>
      <c r="E61" s="8" t="s">
        <v>128</v>
      </c>
      <c r="F61" s="16">
        <v>192222</v>
      </c>
      <c r="H61" s="13">
        <f t="shared" si="10"/>
        <v>192222</v>
      </c>
      <c r="I61" s="21">
        <v>1</v>
      </c>
      <c r="J61" s="26"/>
      <c r="K61" s="26"/>
      <c r="L61" s="8" t="s">
        <v>363</v>
      </c>
      <c r="M61" s="14">
        <f>Y61*Resumen!$C$6+AC61*Resumen!$C$7+AG61*Resumen!$C$9</f>
        <v>0.9</v>
      </c>
      <c r="N61" s="14">
        <f>Z61*Resumen!$C$6+AD61*Resumen!$C$7+AH61*Resumen!$C$9</f>
        <v>1</v>
      </c>
      <c r="O61" s="13">
        <f t="shared" si="11"/>
        <v>172999.80000000002</v>
      </c>
      <c r="P61" s="13">
        <f t="shared" si="12"/>
        <v>192222</v>
      </c>
      <c r="Q61" s="21" t="s">
        <v>341</v>
      </c>
      <c r="R61" s="27"/>
      <c r="S61" s="27"/>
      <c r="T61" s="28"/>
      <c r="U61" s="13">
        <f>H61*((Q61="Oficial")*Resumen!$C$6+(R61="Oficial")*Resumen!$C$7+(S61="Oficial")*Resumen!$C$9)</f>
        <v>0</v>
      </c>
      <c r="V61" s="8" t="str">
        <f t="shared" si="13"/>
        <v>Con entregas verificadas</v>
      </c>
      <c r="W61" s="8" t="str">
        <f>IF(I61="",SUMPRODUCT(($I$5:$I$69="")*($H$5:$H$69&lt;H61))+SUMPRODUCT((I$5:I61="")*($H$5:H61=H61)),"")</f>
        <v/>
      </c>
      <c r="X61" s="8" t="str">
        <f>IF(I61="",SUMPRODUCT(($I$5:$I$69="")*($H$5:$H$69&gt;H61))+SUMPRODUCT((I$5:I61="")*($H$5:H61=H61)),"")</f>
        <v/>
      </c>
      <c r="Y61" s="8">
        <f t="shared" si="14"/>
        <v>1</v>
      </c>
      <c r="Z61" s="8">
        <f t="shared" si="15"/>
        <v>1</v>
      </c>
      <c r="AA61" s="8">
        <f>IF(J61="",SUMPRODUCT(($J$5:$J$69="")*($H$5:$H$69&lt;H61))+SUMPRODUCT((J$5:J61="")*($H$5:H61=H61)),"")</f>
        <v>28</v>
      </c>
      <c r="AB61" s="8">
        <f>IF(J61="",SUMPRODUCT(($J$5:$J$69="")*($H$5:$H$69&gt;H61))+SUMPRODUCT((J$5:J61="")*($H$5:H61=H61)),"")</f>
        <v>2</v>
      </c>
      <c r="AC61" s="8">
        <f t="shared" si="16"/>
        <v>1</v>
      </c>
      <c r="AD61" s="8">
        <f t="shared" si="17"/>
        <v>1</v>
      </c>
      <c r="AE61" s="8">
        <f>IF(K61="",SUMPRODUCT(($K$5:$K$69="")*($H$5:$H$69&lt;H61))+SUMPRODUCT((K$5:K61="")*($H$5:H61=H61)),"")</f>
        <v>29</v>
      </c>
      <c r="AF61" s="8">
        <f>IF(K61="",SUMPRODUCT(($K$5:$K$69="")*($H$5:$H$69&gt;H61))+SUMPRODUCT((K$5:K61="")*($H$5:H61=H61)),"")</f>
        <v>2</v>
      </c>
      <c r="AG61" s="8">
        <f t="shared" si="18"/>
        <v>0</v>
      </c>
      <c r="AH61" s="8">
        <f t="shared" si="19"/>
        <v>1</v>
      </c>
    </row>
    <row r="62" spans="1:34" ht="15" customHeight="1" x14ac:dyDescent="0.25">
      <c r="A62" s="8" t="s">
        <v>263</v>
      </c>
      <c r="B62" s="8" t="s">
        <v>264</v>
      </c>
      <c r="C62" s="8" t="s">
        <v>138</v>
      </c>
      <c r="D62" s="8" t="s">
        <v>161</v>
      </c>
      <c r="E62" s="8" t="s">
        <v>315</v>
      </c>
      <c r="F62" s="16">
        <v>33835.449999999997</v>
      </c>
      <c r="H62" s="13">
        <f t="shared" si="10"/>
        <v>33835.449999999997</v>
      </c>
      <c r="I62" s="26"/>
      <c r="J62" s="26"/>
      <c r="K62" s="26"/>
      <c r="L62" s="8" t="s">
        <v>304</v>
      </c>
      <c r="M62" s="14">
        <f>Y62*Resumen!$C$6+AC62*Resumen!$C$7+AG62*Resumen!$C$9</f>
        <v>1</v>
      </c>
      <c r="N62" s="14">
        <f>Z62*Resumen!$C$6+AD62*Resumen!$C$7+AH62*Resumen!$C$9</f>
        <v>1</v>
      </c>
      <c r="O62" s="13">
        <f t="shared" si="11"/>
        <v>33835.449999999997</v>
      </c>
      <c r="P62" s="13">
        <f t="shared" si="12"/>
        <v>33835.449999999997</v>
      </c>
      <c r="Q62" s="27"/>
      <c r="R62" s="27"/>
      <c r="S62" s="27"/>
      <c r="T62" s="28"/>
      <c r="U62" s="13">
        <f>H62*((Q62="Oficial")*Resumen!$C$6+(R62="Oficial")*Resumen!$C$7+(S62="Oficial")*Resumen!$C$9)</f>
        <v>0</v>
      </c>
      <c r="V62" s="8" t="str">
        <f t="shared" si="13"/>
        <v>Sin evidencia municipal</v>
      </c>
      <c r="W62" s="8">
        <f>IF(I62="",SUMPRODUCT(($I$5:$I$69="")*($H$5:$H$69&lt;H62))+SUMPRODUCT((I$5:I62="")*($H$5:H62=H62)),"")</f>
        <v>15</v>
      </c>
      <c r="X62" s="8">
        <f>IF(I62="",SUMPRODUCT(($I$5:$I$69="")*($H$5:$H$69&gt;H62))+SUMPRODUCT((I$5:I62="")*($H$5:H62=H62)),"")</f>
        <v>14</v>
      </c>
      <c r="Y62" s="8">
        <f t="shared" si="14"/>
        <v>1</v>
      </c>
      <c r="Z62" s="8">
        <f t="shared" si="15"/>
        <v>1</v>
      </c>
      <c r="AA62" s="8">
        <f>IF(J62="",SUMPRODUCT(($J$5:$J$69="")*($H$5:$H$69&lt;H62))+SUMPRODUCT((J$5:J62="")*($H$5:H62=H62)),"")</f>
        <v>15</v>
      </c>
      <c r="AB62" s="8">
        <f>IF(J62="",SUMPRODUCT(($J$5:$J$69="")*($H$5:$H$69&gt;H62))+SUMPRODUCT((J$5:J62="")*($H$5:H62=H62)),"")</f>
        <v>15</v>
      </c>
      <c r="AC62" s="8">
        <f t="shared" si="16"/>
        <v>1</v>
      </c>
      <c r="AD62" s="8">
        <f t="shared" si="17"/>
        <v>1</v>
      </c>
      <c r="AE62" s="8">
        <f>IF(K62="",SUMPRODUCT(($K$5:$K$69="")*($H$5:$H$69&lt;H62))+SUMPRODUCT((K$5:K62="")*($H$5:H62=H62)),"")</f>
        <v>14</v>
      </c>
      <c r="AF62" s="8">
        <f>IF(K62="",SUMPRODUCT(($K$5:$K$69="")*($H$5:$H$69&gt;H62))+SUMPRODUCT((K$5:K62="")*($H$5:H62=H62)),"")</f>
        <v>17</v>
      </c>
      <c r="AG62" s="8">
        <f t="shared" si="18"/>
        <v>1</v>
      </c>
      <c r="AH62" s="8">
        <f t="shared" si="19"/>
        <v>1</v>
      </c>
    </row>
    <row r="63" spans="1:34" ht="15" customHeight="1" x14ac:dyDescent="0.25">
      <c r="A63" s="8" t="s">
        <v>316</v>
      </c>
      <c r="B63" s="8" t="s">
        <v>317</v>
      </c>
      <c r="C63" s="8" t="s">
        <v>157</v>
      </c>
      <c r="D63" s="8" t="s">
        <v>318</v>
      </c>
      <c r="E63" s="8" t="s">
        <v>315</v>
      </c>
      <c r="F63" s="16">
        <v>141295.74</v>
      </c>
      <c r="H63" s="13">
        <f t="shared" si="10"/>
        <v>141295.74</v>
      </c>
      <c r="I63" s="26"/>
      <c r="J63" s="26"/>
      <c r="K63" s="26"/>
      <c r="L63" s="8" t="s">
        <v>304</v>
      </c>
      <c r="M63" s="14">
        <f>Y63*Resumen!$C$6+AC63*Resumen!$C$7+AG63*Resumen!$C$9</f>
        <v>0.9</v>
      </c>
      <c r="N63" s="14">
        <f>Z63*Resumen!$C$6+AD63*Resumen!$C$7+AH63*Resumen!$C$9</f>
        <v>1</v>
      </c>
      <c r="O63" s="13">
        <f t="shared" si="11"/>
        <v>127166.166</v>
      </c>
      <c r="P63" s="13">
        <f t="shared" si="12"/>
        <v>141295.74</v>
      </c>
      <c r="Q63" s="27"/>
      <c r="R63" s="27"/>
      <c r="S63" s="27"/>
      <c r="T63" s="28"/>
      <c r="U63" s="13">
        <f>H63*((Q63="Oficial")*Resumen!$C$6+(R63="Oficial")*Resumen!$C$7+(S63="Oficial")*Resumen!$C$9)</f>
        <v>0</v>
      </c>
      <c r="V63" s="8" t="str">
        <f t="shared" si="13"/>
        <v>Sin evidencia municipal</v>
      </c>
      <c r="W63" s="8">
        <f>IF(I63="",SUMPRODUCT(($I$5:$I$69="")*($H$5:$H$69&lt;H63))+SUMPRODUCT((I$5:I63="")*($H$5:H63=H63)),"")</f>
        <v>27</v>
      </c>
      <c r="X63" s="8">
        <f>IF(I63="",SUMPRODUCT(($I$5:$I$69="")*($H$5:$H$69&gt;H63))+SUMPRODUCT((I$5:I63="")*($H$5:H63=H63)),"")</f>
        <v>2</v>
      </c>
      <c r="Y63" s="8">
        <f t="shared" si="14"/>
        <v>1</v>
      </c>
      <c r="Z63" s="8">
        <f t="shared" si="15"/>
        <v>1</v>
      </c>
      <c r="AA63" s="8">
        <f>IF(J63="",SUMPRODUCT(($J$5:$J$69="")*($H$5:$H$69&lt;H63))+SUMPRODUCT((J$5:J63="")*($H$5:H63=H63)),"")</f>
        <v>27</v>
      </c>
      <c r="AB63" s="8">
        <f>IF(J63="",SUMPRODUCT(($J$5:$J$69="")*($H$5:$H$69&gt;H63))+SUMPRODUCT((J$5:J63="")*($H$5:H63=H63)),"")</f>
        <v>3</v>
      </c>
      <c r="AC63" s="8">
        <f t="shared" si="16"/>
        <v>1</v>
      </c>
      <c r="AD63" s="8">
        <f t="shared" si="17"/>
        <v>1</v>
      </c>
      <c r="AE63" s="8">
        <f>IF(K63="",SUMPRODUCT(($K$5:$K$69="")*($H$5:$H$69&lt;H63))+SUMPRODUCT((K$5:K63="")*($H$5:H63=H63)),"")</f>
        <v>27</v>
      </c>
      <c r="AF63" s="8">
        <f>IF(K63="",SUMPRODUCT(($K$5:$K$69="")*($H$5:$H$69&gt;H63))+SUMPRODUCT((K$5:K63="")*($H$5:H63=H63)),"")</f>
        <v>4</v>
      </c>
      <c r="AG63" s="8">
        <f t="shared" si="18"/>
        <v>0</v>
      </c>
      <c r="AH63" s="8">
        <f t="shared" si="19"/>
        <v>1</v>
      </c>
    </row>
    <row r="64" spans="1:34" ht="35.1" customHeight="1" x14ac:dyDescent="0.25">
      <c r="A64" s="8" t="s">
        <v>265</v>
      </c>
      <c r="B64" s="8" t="s">
        <v>266</v>
      </c>
      <c r="C64" s="8" t="s">
        <v>180</v>
      </c>
      <c r="D64" s="8" t="s">
        <v>161</v>
      </c>
      <c r="E64" s="8" t="s">
        <v>315</v>
      </c>
      <c r="F64" s="16">
        <v>187269.68</v>
      </c>
      <c r="H64" s="13">
        <f t="shared" si="10"/>
        <v>187269.68</v>
      </c>
      <c r="I64" s="21">
        <v>0</v>
      </c>
      <c r="J64" s="21">
        <v>0</v>
      </c>
      <c r="K64" s="21">
        <v>0</v>
      </c>
      <c r="L64" s="8" t="s">
        <v>353</v>
      </c>
      <c r="M64" s="14">
        <f>Y64*Resumen!$C$6+AC64*Resumen!$C$7+AG64*Resumen!$C$9</f>
        <v>0</v>
      </c>
      <c r="N64" s="14">
        <f>Z64*Resumen!$C$6+AD64*Resumen!$C$7+AH64*Resumen!$C$9</f>
        <v>0</v>
      </c>
      <c r="O64" s="13">
        <f t="shared" si="11"/>
        <v>0</v>
      </c>
      <c r="P64" s="13">
        <f t="shared" si="12"/>
        <v>0</v>
      </c>
      <c r="Q64" s="27"/>
      <c r="R64" s="27"/>
      <c r="S64" s="27"/>
      <c r="T64" s="8" t="s">
        <v>364</v>
      </c>
      <c r="U64" s="13">
        <f>H64*((Q64="Oficial")*Resumen!$C$6+(R64="Oficial")*Resumen!$C$7+(S64="Oficial")*Resumen!$C$9)</f>
        <v>0</v>
      </c>
      <c r="V64" s="8" t="str">
        <f t="shared" si="13"/>
        <v>Sin entregas</v>
      </c>
      <c r="W64" s="8" t="str">
        <f>IF(I64="",SUMPRODUCT(($I$5:$I$69="")*($H$5:$H$69&lt;H64))+SUMPRODUCT((I$5:I64="")*($H$5:H64=H64)),"")</f>
        <v/>
      </c>
      <c r="X64" s="8" t="str">
        <f>IF(I64="",SUMPRODUCT(($I$5:$I$69="")*($H$5:$H$69&gt;H64))+SUMPRODUCT((I$5:I64="")*($H$5:H64=H64)),"")</f>
        <v/>
      </c>
      <c r="Y64" s="8">
        <f t="shared" si="14"/>
        <v>0</v>
      </c>
      <c r="Z64" s="8">
        <f t="shared" si="15"/>
        <v>0</v>
      </c>
      <c r="AA64" s="8" t="str">
        <f>IF(J64="",SUMPRODUCT(($J$5:$J$69="")*($H$5:$H$69&lt;H64))+SUMPRODUCT((J$5:J64="")*($H$5:H64=H64)),"")</f>
        <v/>
      </c>
      <c r="AB64" s="8" t="str">
        <f>IF(J64="",SUMPRODUCT(($J$5:$J$69="")*($H$5:$H$69&gt;H64))+SUMPRODUCT((J$5:J64="")*($H$5:H64=H64)),"")</f>
        <v/>
      </c>
      <c r="AC64" s="8">
        <f t="shared" si="16"/>
        <v>0</v>
      </c>
      <c r="AD64" s="8">
        <f t="shared" si="17"/>
        <v>0</v>
      </c>
      <c r="AE64" s="8" t="str">
        <f>IF(K64="",SUMPRODUCT(($K$5:$K$69="")*($H$5:$H$69&lt;H64))+SUMPRODUCT((K$5:K64="")*($H$5:H64=H64)),"")</f>
        <v/>
      </c>
      <c r="AF64" s="8" t="str">
        <f>IF(K64="",SUMPRODUCT(($K$5:$K$69="")*($H$5:$H$69&gt;H64))+SUMPRODUCT((K$5:K64="")*($H$5:H64=H64)),"")</f>
        <v/>
      </c>
      <c r="AG64" s="8">
        <f t="shared" si="18"/>
        <v>0</v>
      </c>
      <c r="AH64" s="8">
        <f t="shared" si="19"/>
        <v>0</v>
      </c>
    </row>
    <row r="65" spans="1:34" ht="35.1" customHeight="1" x14ac:dyDescent="0.25">
      <c r="A65" s="8" t="s">
        <v>319</v>
      </c>
      <c r="B65" s="8" t="s">
        <v>320</v>
      </c>
      <c r="C65" s="8" t="s">
        <v>138</v>
      </c>
      <c r="D65" s="8" t="s">
        <v>318</v>
      </c>
      <c r="E65" s="8" t="s">
        <v>315</v>
      </c>
      <c r="F65" s="16">
        <v>150377.84</v>
      </c>
      <c r="H65" s="13">
        <f t="shared" si="10"/>
        <v>150377.84</v>
      </c>
      <c r="I65" s="21">
        <v>0</v>
      </c>
      <c r="J65" s="21">
        <v>0</v>
      </c>
      <c r="K65" s="21">
        <v>0</v>
      </c>
      <c r="L65" s="8" t="s">
        <v>353</v>
      </c>
      <c r="M65" s="14">
        <f>Y65*Resumen!$C$6+AC65*Resumen!$C$7+AG65*Resumen!$C$9</f>
        <v>0</v>
      </c>
      <c r="N65" s="14">
        <f>Z65*Resumen!$C$6+AD65*Resumen!$C$7+AH65*Resumen!$C$9</f>
        <v>0</v>
      </c>
      <c r="O65" s="13">
        <f t="shared" si="11"/>
        <v>0</v>
      </c>
      <c r="P65" s="13">
        <f t="shared" si="12"/>
        <v>0</v>
      </c>
      <c r="Q65" s="27"/>
      <c r="R65" s="27"/>
      <c r="S65" s="27"/>
      <c r="T65" s="8" t="s">
        <v>365</v>
      </c>
      <c r="U65" s="13">
        <f>H65*((Q65="Oficial")*Resumen!$C$6+(R65="Oficial")*Resumen!$C$7+(S65="Oficial")*Resumen!$C$9)</f>
        <v>0</v>
      </c>
      <c r="V65" s="8" t="str">
        <f t="shared" si="13"/>
        <v>Sin entregas</v>
      </c>
      <c r="W65" s="8" t="str">
        <f>IF(I65="",SUMPRODUCT(($I$5:$I$69="")*($H$5:$H$69&lt;H65))+SUMPRODUCT((I$5:I65="")*($H$5:H65=H65)),"")</f>
        <v/>
      </c>
      <c r="X65" s="8" t="str">
        <f>IF(I65="",SUMPRODUCT(($I$5:$I$69="")*($H$5:$H$69&gt;H65))+SUMPRODUCT((I$5:I65="")*($H$5:H65=H65)),"")</f>
        <v/>
      </c>
      <c r="Y65" s="8">
        <f t="shared" si="14"/>
        <v>0</v>
      </c>
      <c r="Z65" s="8">
        <f t="shared" si="15"/>
        <v>0</v>
      </c>
      <c r="AA65" s="8" t="str">
        <f>IF(J65="",SUMPRODUCT(($J$5:$J$69="")*($H$5:$H$69&lt;H65))+SUMPRODUCT((J$5:J65="")*($H$5:H65=H65)),"")</f>
        <v/>
      </c>
      <c r="AB65" s="8" t="str">
        <f>IF(J65="",SUMPRODUCT(($J$5:$J$69="")*($H$5:$H$69&gt;H65))+SUMPRODUCT((J$5:J65="")*($H$5:H65=H65)),"")</f>
        <v/>
      </c>
      <c r="AC65" s="8">
        <f t="shared" si="16"/>
        <v>0</v>
      </c>
      <c r="AD65" s="8">
        <f t="shared" si="17"/>
        <v>0</v>
      </c>
      <c r="AE65" s="8" t="str">
        <f>IF(K65="",SUMPRODUCT(($K$5:$K$69="")*($H$5:$H$69&lt;H65))+SUMPRODUCT((K$5:K65="")*($H$5:H65=H65)),"")</f>
        <v/>
      </c>
      <c r="AF65" s="8" t="str">
        <f>IF(K65="",SUMPRODUCT(($K$5:$K$69="")*($H$5:$H$69&gt;H65))+SUMPRODUCT((K$5:K65="")*($H$5:H65=H65)),"")</f>
        <v/>
      </c>
      <c r="AG65" s="8">
        <f t="shared" si="18"/>
        <v>0</v>
      </c>
      <c r="AH65" s="8">
        <f t="shared" si="19"/>
        <v>0</v>
      </c>
    </row>
    <row r="66" spans="1:34" ht="35.1" customHeight="1" x14ac:dyDescent="0.25">
      <c r="A66" s="8" t="s">
        <v>321</v>
      </c>
      <c r="B66" s="8" t="s">
        <v>322</v>
      </c>
      <c r="C66" s="8" t="s">
        <v>185</v>
      </c>
      <c r="D66" s="8" t="s">
        <v>318</v>
      </c>
      <c r="E66" s="8" t="s">
        <v>315</v>
      </c>
      <c r="F66" s="16">
        <v>126683.99</v>
      </c>
      <c r="H66" s="13">
        <f t="shared" si="10"/>
        <v>126683.99</v>
      </c>
      <c r="I66" s="21">
        <v>0</v>
      </c>
      <c r="J66" s="21">
        <v>0</v>
      </c>
      <c r="K66" s="21">
        <v>0</v>
      </c>
      <c r="L66" s="8" t="s">
        <v>353</v>
      </c>
      <c r="M66" s="14">
        <f>Y66*Resumen!$C$6+AC66*Resumen!$C$7+AG66*Resumen!$C$9</f>
        <v>0</v>
      </c>
      <c r="N66" s="14">
        <f>Z66*Resumen!$C$6+AD66*Resumen!$C$7+AH66*Resumen!$C$9</f>
        <v>0</v>
      </c>
      <c r="O66" s="13">
        <f t="shared" si="11"/>
        <v>0</v>
      </c>
      <c r="P66" s="13">
        <f t="shared" si="12"/>
        <v>0</v>
      </c>
      <c r="Q66" s="27"/>
      <c r="R66" s="27"/>
      <c r="S66" s="27"/>
      <c r="T66" s="8" t="s">
        <v>366</v>
      </c>
      <c r="U66" s="13">
        <f>H66*((Q66="Oficial")*Resumen!$C$6+(R66="Oficial")*Resumen!$C$7+(S66="Oficial")*Resumen!$C$9)</f>
        <v>0</v>
      </c>
      <c r="V66" s="8" t="str">
        <f t="shared" si="13"/>
        <v>Sin entregas</v>
      </c>
      <c r="W66" s="8" t="str">
        <f>IF(I66="",SUMPRODUCT(($I$5:$I$69="")*($H$5:$H$69&lt;H66))+SUMPRODUCT((I$5:I66="")*($H$5:H66=H66)),"")</f>
        <v/>
      </c>
      <c r="X66" s="8" t="str">
        <f>IF(I66="",SUMPRODUCT(($I$5:$I$69="")*($H$5:$H$69&gt;H66))+SUMPRODUCT((I$5:I66="")*($H$5:H66=H66)),"")</f>
        <v/>
      </c>
      <c r="Y66" s="8">
        <f t="shared" si="14"/>
        <v>0</v>
      </c>
      <c r="Z66" s="8">
        <f t="shared" si="15"/>
        <v>0</v>
      </c>
      <c r="AA66" s="8" t="str">
        <f>IF(J66="",SUMPRODUCT(($J$5:$J$69="")*($H$5:$H$69&lt;H66))+SUMPRODUCT((J$5:J66="")*($H$5:H66=H66)),"")</f>
        <v/>
      </c>
      <c r="AB66" s="8" t="str">
        <f>IF(J66="",SUMPRODUCT(($J$5:$J$69="")*($H$5:$H$69&gt;H66))+SUMPRODUCT((J$5:J66="")*($H$5:H66=H66)),"")</f>
        <v/>
      </c>
      <c r="AC66" s="8">
        <f t="shared" si="16"/>
        <v>0</v>
      </c>
      <c r="AD66" s="8">
        <f t="shared" si="17"/>
        <v>0</v>
      </c>
      <c r="AE66" s="8" t="str">
        <f>IF(K66="",SUMPRODUCT(($K$5:$K$69="")*($H$5:$H$69&lt;H66))+SUMPRODUCT((K$5:K66="")*($H$5:H66=H66)),"")</f>
        <v/>
      </c>
      <c r="AF66" s="8" t="str">
        <f>IF(K66="",SUMPRODUCT(($K$5:$K$69="")*($H$5:$H$69&gt;H66))+SUMPRODUCT((K$5:K66="")*($H$5:H66=H66)),"")</f>
        <v/>
      </c>
      <c r="AG66" s="8">
        <f t="shared" si="18"/>
        <v>0</v>
      </c>
      <c r="AH66" s="8">
        <f t="shared" si="19"/>
        <v>0</v>
      </c>
    </row>
    <row r="67" spans="1:34" ht="15" customHeight="1" x14ac:dyDescent="0.25">
      <c r="A67" s="8" t="s">
        <v>323</v>
      </c>
      <c r="B67" s="8" t="s">
        <v>324</v>
      </c>
      <c r="C67" s="8" t="s">
        <v>157</v>
      </c>
      <c r="D67" s="8" t="s">
        <v>318</v>
      </c>
      <c r="E67" s="8" t="s">
        <v>315</v>
      </c>
      <c r="F67" s="16">
        <v>54029.88</v>
      </c>
      <c r="H67" s="13">
        <f t="shared" si="10"/>
        <v>54029.88</v>
      </c>
      <c r="I67" s="26"/>
      <c r="J67" s="26"/>
      <c r="K67" s="26"/>
      <c r="L67" s="8" t="s">
        <v>304</v>
      </c>
      <c r="M67" s="14">
        <f>Y67*Resumen!$C$6+AC67*Resumen!$C$7+AG67*Resumen!$C$9</f>
        <v>1</v>
      </c>
      <c r="N67" s="14">
        <f>Z67*Resumen!$C$6+AD67*Resumen!$C$7+AH67*Resumen!$C$9</f>
        <v>1</v>
      </c>
      <c r="O67" s="13">
        <f t="shared" si="11"/>
        <v>54029.88</v>
      </c>
      <c r="P67" s="13">
        <f t="shared" si="12"/>
        <v>54029.88</v>
      </c>
      <c r="Q67" s="27"/>
      <c r="R67" s="27"/>
      <c r="S67" s="27"/>
      <c r="T67" s="28"/>
      <c r="U67" s="13">
        <f>H67*((Q67="Oficial")*Resumen!$C$6+(R67="Oficial")*Resumen!$C$7+(S67="Oficial")*Resumen!$C$9)</f>
        <v>0</v>
      </c>
      <c r="V67" s="8" t="str">
        <f t="shared" si="13"/>
        <v>Sin evidencia municipal</v>
      </c>
      <c r="W67" s="8">
        <f>IF(I67="",SUMPRODUCT(($I$5:$I$69="")*($H$5:$H$69&lt;H67))+SUMPRODUCT((I$5:I67="")*($H$5:H67=H67)),"")</f>
        <v>22</v>
      </c>
      <c r="X67" s="8">
        <f>IF(I67="",SUMPRODUCT(($I$5:$I$69="")*($H$5:$H$69&gt;H67))+SUMPRODUCT((I$5:I67="")*($H$5:H67=H67)),"")</f>
        <v>7</v>
      </c>
      <c r="Y67" s="8">
        <f t="shared" si="14"/>
        <v>1</v>
      </c>
      <c r="Z67" s="8">
        <f t="shared" si="15"/>
        <v>1</v>
      </c>
      <c r="AA67" s="8">
        <f>IF(J67="",SUMPRODUCT(($J$5:$J$69="")*($H$5:$H$69&lt;H67))+SUMPRODUCT((J$5:J67="")*($H$5:H67=H67)),"")</f>
        <v>22</v>
      </c>
      <c r="AB67" s="8">
        <f>IF(J67="",SUMPRODUCT(($J$5:$J$69="")*($H$5:$H$69&gt;H67))+SUMPRODUCT((J$5:J67="")*($H$5:H67=H67)),"")</f>
        <v>8</v>
      </c>
      <c r="AC67" s="8">
        <f t="shared" si="16"/>
        <v>1</v>
      </c>
      <c r="AD67" s="8">
        <f t="shared" si="17"/>
        <v>1</v>
      </c>
      <c r="AE67" s="8">
        <f>IF(K67="",SUMPRODUCT(($K$5:$K$69="")*($H$5:$H$69&lt;H67))+SUMPRODUCT((K$5:K67="")*($H$5:H67=H67)),"")</f>
        <v>20</v>
      </c>
      <c r="AF67" s="8">
        <f>IF(K67="",SUMPRODUCT(($K$5:$K$69="")*($H$5:$H$69&gt;H67))+SUMPRODUCT((K$5:K67="")*($H$5:H67=H67)),"")</f>
        <v>11</v>
      </c>
      <c r="AG67" s="8">
        <f t="shared" si="18"/>
        <v>1</v>
      </c>
      <c r="AH67" s="8">
        <f t="shared" si="19"/>
        <v>1</v>
      </c>
    </row>
    <row r="68" spans="1:34" ht="35.1" customHeight="1" x14ac:dyDescent="0.25">
      <c r="A68" s="8" t="s">
        <v>325</v>
      </c>
      <c r="B68" s="8" t="s">
        <v>326</v>
      </c>
      <c r="C68" s="8" t="s">
        <v>185</v>
      </c>
      <c r="D68" s="8" t="s">
        <v>318</v>
      </c>
      <c r="E68" s="8" t="s">
        <v>315</v>
      </c>
      <c r="F68" s="16">
        <v>166272.99</v>
      </c>
      <c r="H68" s="13">
        <f t="shared" si="10"/>
        <v>166272.99</v>
      </c>
      <c r="I68" s="21">
        <v>0</v>
      </c>
      <c r="J68" s="21">
        <v>0</v>
      </c>
      <c r="K68" s="21">
        <v>0</v>
      </c>
      <c r="L68" s="8" t="s">
        <v>353</v>
      </c>
      <c r="M68" s="14">
        <f>Y68*Resumen!$C$6+AC68*Resumen!$C$7+AG68*Resumen!$C$9</f>
        <v>0</v>
      </c>
      <c r="N68" s="14">
        <f>Z68*Resumen!$C$6+AD68*Resumen!$C$7+AH68*Resumen!$C$9</f>
        <v>0</v>
      </c>
      <c r="O68" s="13">
        <f t="shared" si="11"/>
        <v>0</v>
      </c>
      <c r="P68" s="13">
        <f t="shared" si="12"/>
        <v>0</v>
      </c>
      <c r="Q68" s="27"/>
      <c r="R68" s="27"/>
      <c r="S68" s="27"/>
      <c r="T68" s="8" t="s">
        <v>367</v>
      </c>
      <c r="U68" s="13">
        <f>H68*((Q68="Oficial")*Resumen!$C$6+(R68="Oficial")*Resumen!$C$7+(S68="Oficial")*Resumen!$C$9)</f>
        <v>0</v>
      </c>
      <c r="V68" s="8" t="str">
        <f t="shared" si="13"/>
        <v>Sin entregas</v>
      </c>
      <c r="W68" s="8" t="str">
        <f>IF(I68="",SUMPRODUCT(($I$5:$I$69="")*($H$5:$H$69&lt;H68))+SUMPRODUCT((I$5:I68="")*($H$5:H68=H68)),"")</f>
        <v/>
      </c>
      <c r="X68" s="8" t="str">
        <f>IF(I68="",SUMPRODUCT(($I$5:$I$69="")*($H$5:$H$69&gt;H68))+SUMPRODUCT((I$5:I68="")*($H$5:H68=H68)),"")</f>
        <v/>
      </c>
      <c r="Y68" s="8">
        <f t="shared" si="14"/>
        <v>0</v>
      </c>
      <c r="Z68" s="8">
        <f t="shared" si="15"/>
        <v>0</v>
      </c>
      <c r="AA68" s="8" t="str">
        <f>IF(J68="",SUMPRODUCT(($J$5:$J$69="")*($H$5:$H$69&lt;H68))+SUMPRODUCT((J$5:J68="")*($H$5:H68=H68)),"")</f>
        <v/>
      </c>
      <c r="AB68" s="8" t="str">
        <f>IF(J68="",SUMPRODUCT(($J$5:$J$69="")*($H$5:$H$69&gt;H68))+SUMPRODUCT((J$5:J68="")*($H$5:H68=H68)),"")</f>
        <v/>
      </c>
      <c r="AC68" s="8">
        <f t="shared" si="16"/>
        <v>0</v>
      </c>
      <c r="AD68" s="8">
        <f t="shared" si="17"/>
        <v>0</v>
      </c>
      <c r="AE68" s="8" t="str">
        <f>IF(K68="",SUMPRODUCT(($K$5:$K$69="")*($H$5:$H$69&lt;H68))+SUMPRODUCT((K$5:K68="")*($H$5:H68=H68)),"")</f>
        <v/>
      </c>
      <c r="AF68" s="8" t="str">
        <f>IF(K68="",SUMPRODUCT(($K$5:$K$69="")*($H$5:$H$69&gt;H68))+SUMPRODUCT((K$5:K68="")*($H$5:H68=H68)),"")</f>
        <v/>
      </c>
      <c r="AG68" s="8">
        <f t="shared" si="18"/>
        <v>0</v>
      </c>
      <c r="AH68" s="8">
        <f t="shared" si="19"/>
        <v>0</v>
      </c>
    </row>
    <row r="69" spans="1:34" ht="15" customHeight="1" x14ac:dyDescent="0.25">
      <c r="A69" s="8" t="s">
        <v>261</v>
      </c>
      <c r="B69" s="8" t="s">
        <v>262</v>
      </c>
      <c r="C69" s="8" t="s">
        <v>157</v>
      </c>
      <c r="D69" s="8" t="s">
        <v>158</v>
      </c>
      <c r="E69" s="8" t="s">
        <v>315</v>
      </c>
      <c r="F69" s="16">
        <v>44055.519999999997</v>
      </c>
      <c r="H69" s="13">
        <f t="shared" ref="H69:H100" si="20">IF(G69="",F69,G69)</f>
        <v>44055.519999999997</v>
      </c>
      <c r="I69" s="26"/>
      <c r="J69" s="26"/>
      <c r="K69" s="26"/>
      <c r="L69" s="8" t="s">
        <v>304</v>
      </c>
      <c r="M69" s="14">
        <f>Y69*Resumen!$C$6+AC69*Resumen!$C$7+AG69*Resumen!$C$9</f>
        <v>1</v>
      </c>
      <c r="N69" s="14">
        <f>Z69*Resumen!$C$6+AD69*Resumen!$C$7+AH69*Resumen!$C$9</f>
        <v>1</v>
      </c>
      <c r="O69" s="13">
        <f t="shared" si="11"/>
        <v>44055.519999999997</v>
      </c>
      <c r="P69" s="13">
        <f t="shared" si="12"/>
        <v>44055.519999999997</v>
      </c>
      <c r="Q69" s="27"/>
      <c r="R69" s="27"/>
      <c r="S69" s="27"/>
      <c r="T69" s="28"/>
      <c r="U69" s="13">
        <f>H69*((Q69="Oficial")*Resumen!$C$6+(R69="Oficial")*Resumen!$C$7+(S69="Oficial")*Resumen!$C$9)</f>
        <v>0</v>
      </c>
      <c r="V69" s="8" t="str">
        <f t="shared" si="13"/>
        <v>Sin evidencia municipal</v>
      </c>
      <c r="W69" s="8">
        <f>IF(I69="",SUMPRODUCT(($I$5:$I$69="")*($H$5:$H$69&lt;H69))+SUMPRODUCT((I$5:I69="")*($H$5:H69=H69)),"")</f>
        <v>20</v>
      </c>
      <c r="X69" s="8">
        <f>IF(I69="",SUMPRODUCT(($I$5:$I$69="")*($H$5:$H$69&gt;H69))+SUMPRODUCT((I$5:I69="")*($H$5:H69=H69)),"")</f>
        <v>9</v>
      </c>
      <c r="Y69" s="8">
        <f t="shared" si="14"/>
        <v>1</v>
      </c>
      <c r="Z69" s="8">
        <f t="shared" si="15"/>
        <v>1</v>
      </c>
      <c r="AA69" s="8">
        <f>IF(J69="",SUMPRODUCT(($J$5:$J$69="")*($H$5:$H$69&lt;H69))+SUMPRODUCT((J$5:J69="")*($H$5:H69=H69)),"")</f>
        <v>20</v>
      </c>
      <c r="AB69" s="8">
        <f>IF(J69="",SUMPRODUCT(($J$5:$J$69="")*($H$5:$H$69&gt;H69))+SUMPRODUCT((J$5:J69="")*($H$5:H69=H69)),"")</f>
        <v>10</v>
      </c>
      <c r="AC69" s="8">
        <f t="shared" si="16"/>
        <v>1</v>
      </c>
      <c r="AD69" s="8">
        <f t="shared" si="17"/>
        <v>1</v>
      </c>
      <c r="AE69" s="8">
        <f>IF(K69="",SUMPRODUCT(($K$5:$K$69="")*($H$5:$H$69&lt;H69))+SUMPRODUCT((K$5:K69="")*($H$5:H69=H69)),"")</f>
        <v>19</v>
      </c>
      <c r="AF69" s="8">
        <f>IF(K69="",SUMPRODUCT(($K$5:$K$69="")*($H$5:$H$69&gt;H69))+SUMPRODUCT((K$5:K69="")*($H$5:H69=H69)),"")</f>
        <v>12</v>
      </c>
      <c r="AG69" s="8">
        <f t="shared" si="18"/>
        <v>1</v>
      </c>
      <c r="AH69" s="8">
        <f t="shared" si="19"/>
        <v>1</v>
      </c>
    </row>
    <row r="70" spans="1:34" ht="15" customHeight="1" x14ac:dyDescent="0.25">
      <c r="A70" s="22"/>
      <c r="B70" s="10" t="s">
        <v>252</v>
      </c>
      <c r="C70" s="22"/>
      <c r="D70" s="22"/>
      <c r="E70" s="22"/>
      <c r="F70" s="23">
        <f t="shared" ref="F70:K70" si="21">SUM(F5:F69)</f>
        <v>4393721.09</v>
      </c>
      <c r="G70" s="23">
        <f t="shared" si="21"/>
        <v>782009.99</v>
      </c>
      <c r="H70" s="23">
        <f t="shared" si="21"/>
        <v>4393721.0799999991</v>
      </c>
      <c r="I70" s="10">
        <f t="shared" si="21"/>
        <v>27</v>
      </c>
      <c r="J70" s="10">
        <f t="shared" si="21"/>
        <v>26</v>
      </c>
      <c r="K70" s="10">
        <f t="shared" si="21"/>
        <v>25</v>
      </c>
      <c r="L70" s="10" t="str">
        <f>"Celdas sin dato: "&amp;COUNTBLANK(I5:K69)&amp;" de "&amp;195</f>
        <v>Celdas sin dato: 87 de 195</v>
      </c>
      <c r="M70" s="24">
        <f>IF(H70=0,0,O70/H70)</f>
        <v>0.59217002140700303</v>
      </c>
      <c r="N70" s="24">
        <f>IF(H70=0,0,P70/H70)</f>
        <v>0.64460333927250579</v>
      </c>
      <c r="O70" s="23">
        <f>SUM(O5:O69)</f>
        <v>2601829.906</v>
      </c>
      <c r="P70" s="23">
        <f>SUM(P5:P69)</f>
        <v>2832207.28</v>
      </c>
      <c r="Q70" s="22"/>
      <c r="R70" s="22"/>
      <c r="S70" s="22"/>
      <c r="T70" s="22"/>
      <c r="U70" s="23">
        <f>SUM(U5:U69)</f>
        <v>339479.89600000007</v>
      </c>
      <c r="V70" s="10" t="str">
        <f>COUNTIF(V5:V69,"Con entregas verificadas")&amp;" con entregas verificadas de "&amp;COUNTA(B5:B69)</f>
        <v>30 con entregas verificadas de 65</v>
      </c>
    </row>
    <row r="72" spans="1:34" ht="15" customHeight="1" x14ac:dyDescent="0.25">
      <c r="B72" s="7" t="s">
        <v>327</v>
      </c>
      <c r="I72" s="12">
        <v>54</v>
      </c>
      <c r="J72" s="12">
        <v>54</v>
      </c>
      <c r="K72" s="12">
        <v>51</v>
      </c>
      <c r="L72" s="6" t="s">
        <v>328</v>
      </c>
    </row>
    <row r="73" spans="1:34" ht="15" customHeight="1" x14ac:dyDescent="0.25">
      <c r="B73" s="7" t="s">
        <v>329</v>
      </c>
      <c r="I73" s="11">
        <f>I72-COUNTIF(I5:I69,1)</f>
        <v>27</v>
      </c>
      <c r="J73" s="11">
        <f>J72-COUNTIF(J5:J69,1)</f>
        <v>28</v>
      </c>
      <c r="K73" s="11">
        <f>K72-COUNTIF(K5:K69,1)</f>
        <v>26</v>
      </c>
      <c r="L73" s="6" t="s">
        <v>330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4"/>
  <sheetViews>
    <sheetView zoomScaleNormal="100" workbookViewId="0">
      <pane xSplit="2" ySplit="4" topLeftCell="C23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5" width="10" style="4" customWidth="1"/>
    <col min="6" max="8" width="14" style="4" customWidth="1"/>
    <col min="9" max="11" width="13" style="4" customWidth="1"/>
    <col min="12" max="12" width="48" style="4" customWidth="1"/>
    <col min="13" max="19" width="13" style="4" customWidth="1"/>
    <col min="20" max="20" width="40" style="4" customWidth="1"/>
    <col min="21" max="21" width="13" style="4" customWidth="1"/>
    <col min="22" max="22" width="24" style="4" customWidth="1"/>
  </cols>
  <sheetData>
    <row r="1" spans="1:22" ht="15" customHeight="1" x14ac:dyDescent="0.25">
      <c r="A1" s="5" t="s">
        <v>368</v>
      </c>
    </row>
    <row r="2" spans="1:22" ht="15" customHeight="1" x14ac:dyDescent="0.25">
      <c r="A2" s="6" t="s">
        <v>339</v>
      </c>
    </row>
    <row r="4" spans="1:22" ht="51.75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101</v>
      </c>
      <c r="F4" s="20" t="s">
        <v>102</v>
      </c>
      <c r="G4" s="20" t="s">
        <v>103</v>
      </c>
      <c r="H4" s="20" t="s">
        <v>104</v>
      </c>
      <c r="I4" s="20" t="s">
        <v>273</v>
      </c>
      <c r="J4" s="20" t="s">
        <v>274</v>
      </c>
      <c r="K4" s="20" t="s">
        <v>275</v>
      </c>
      <c r="L4" s="20" t="s">
        <v>276</v>
      </c>
      <c r="M4" s="20" t="s">
        <v>277</v>
      </c>
      <c r="N4" s="20" t="s">
        <v>278</v>
      </c>
      <c r="O4" s="20" t="s">
        <v>279</v>
      </c>
      <c r="P4" s="20" t="s">
        <v>280</v>
      </c>
      <c r="Q4" s="20" t="s">
        <v>281</v>
      </c>
      <c r="R4" s="20" t="s">
        <v>282</v>
      </c>
      <c r="S4" s="20" t="s">
        <v>283</v>
      </c>
      <c r="T4" s="20" t="s">
        <v>284</v>
      </c>
      <c r="U4" s="20" t="s">
        <v>285</v>
      </c>
      <c r="V4" s="20" t="s">
        <v>116</v>
      </c>
    </row>
    <row r="5" spans="1:22" ht="15" customHeight="1" x14ac:dyDescent="0.25">
      <c r="A5" s="8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16">
        <v>87.1</v>
      </c>
      <c r="G5" s="16">
        <v>99.63</v>
      </c>
      <c r="H5" s="13">
        <f t="shared" ref="H5:H36" si="0">IF(G5="",F5,G5)</f>
        <v>99.63</v>
      </c>
      <c r="I5" s="21">
        <v>1</v>
      </c>
      <c r="J5" s="21">
        <v>1</v>
      </c>
      <c r="K5" s="21">
        <v>1</v>
      </c>
      <c r="L5" s="8" t="s">
        <v>369</v>
      </c>
      <c r="M5" s="14">
        <f>IF(I5="",0,I5)*Resumen!$C$6+IF(J5="",0,J5)*Resumen!$C$7+IF(K5="",0,K5)*Resumen!$C$9</f>
        <v>1</v>
      </c>
      <c r="N5" s="14">
        <f>IF(I5="",1,I5)*Resumen!$C$6+IF(J5="",1,J5)*Resumen!$C$7+IF(K5="",1,K5)*Resumen!$C$9</f>
        <v>1</v>
      </c>
      <c r="O5" s="13">
        <f t="shared" ref="O5:O36" si="1">H5*M5</f>
        <v>99.63</v>
      </c>
      <c r="P5" s="13">
        <f t="shared" ref="P5:P36" si="2">H5*N5</f>
        <v>99.63</v>
      </c>
      <c r="Q5" s="21" t="s">
        <v>345</v>
      </c>
      <c r="R5" s="21" t="s">
        <v>341</v>
      </c>
      <c r="S5" s="21" t="s">
        <v>345</v>
      </c>
      <c r="T5" s="28"/>
      <c r="U5" s="13">
        <f>H5*((Q5="Oficial")*Resumen!$C$6+(R5="Oficial")*Resumen!$C$7+(S5="Oficial")*Resumen!$C$9)</f>
        <v>54.796500000000002</v>
      </c>
      <c r="V5" s="8" t="str">
        <f t="shared" ref="V5:V36" si="3">IF(COUNTIF(I5:K5,1)&gt;0,"Con entregas verificadas",IF(COUNTBLANK(I5:K5)&gt;0,"Sin evidencia municipal","Sin entregas"))</f>
        <v>Con entregas verificadas</v>
      </c>
    </row>
    <row r="6" spans="1:22" ht="15" customHeight="1" x14ac:dyDescent="0.25">
      <c r="A6" s="8" t="s">
        <v>130</v>
      </c>
      <c r="B6" s="8" t="s">
        <v>131</v>
      </c>
      <c r="C6" s="8" t="s">
        <v>126</v>
      </c>
      <c r="D6" s="8" t="s">
        <v>127</v>
      </c>
      <c r="E6" s="8" t="s">
        <v>128</v>
      </c>
      <c r="F6" s="16">
        <v>33.799999999999997</v>
      </c>
      <c r="H6" s="13">
        <f t="shared" si="0"/>
        <v>33.799999999999997</v>
      </c>
      <c r="I6" s="21">
        <v>1</v>
      </c>
      <c r="J6" s="21">
        <v>1</v>
      </c>
      <c r="K6" s="21">
        <v>1</v>
      </c>
      <c r="L6" s="8" t="s">
        <v>369</v>
      </c>
      <c r="M6" s="14">
        <f>IF(I6="",0,I6)*Resumen!$C$6+IF(J6="",0,J6)*Resumen!$C$7+IF(K6="",0,K6)*Resumen!$C$9</f>
        <v>1</v>
      </c>
      <c r="N6" s="14">
        <f>IF(I6="",1,I6)*Resumen!$C$6+IF(J6="",1,J6)*Resumen!$C$7+IF(K6="",1,K6)*Resumen!$C$9</f>
        <v>1</v>
      </c>
      <c r="O6" s="13">
        <f t="shared" si="1"/>
        <v>33.799999999999997</v>
      </c>
      <c r="P6" s="13">
        <f t="shared" si="2"/>
        <v>33.799999999999997</v>
      </c>
      <c r="Q6" s="21" t="s">
        <v>343</v>
      </c>
      <c r="R6" s="21" t="s">
        <v>345</v>
      </c>
      <c r="S6" s="21" t="s">
        <v>343</v>
      </c>
      <c r="T6" s="28"/>
      <c r="U6" s="13">
        <f>H6*((Q6="Oficial")*Resumen!$C$6+(R6="Oficial")*Resumen!$C$7+(S6="Oficial")*Resumen!$C$9)</f>
        <v>15.209999999999999</v>
      </c>
      <c r="V6" s="8" t="str">
        <f t="shared" si="3"/>
        <v>Con entregas verificadas</v>
      </c>
    </row>
    <row r="7" spans="1:22" ht="15" customHeight="1" x14ac:dyDescent="0.25">
      <c r="A7" s="8" t="s">
        <v>132</v>
      </c>
      <c r="B7" s="8" t="s">
        <v>133</v>
      </c>
      <c r="C7" s="8" t="s">
        <v>126</v>
      </c>
      <c r="D7" s="8" t="s">
        <v>127</v>
      </c>
      <c r="E7" s="8" t="s">
        <v>128</v>
      </c>
      <c r="F7" s="16">
        <v>300.3</v>
      </c>
      <c r="G7" s="16">
        <v>243.43</v>
      </c>
      <c r="H7" s="13">
        <f t="shared" si="0"/>
        <v>243.43</v>
      </c>
      <c r="I7" s="21">
        <v>1</v>
      </c>
      <c r="J7" s="21">
        <v>1</v>
      </c>
      <c r="K7" s="21">
        <v>1</v>
      </c>
      <c r="L7" s="8" t="s">
        <v>369</v>
      </c>
      <c r="M7" s="14">
        <f>IF(I7="",0,I7)*Resumen!$C$6+IF(J7="",0,J7)*Resumen!$C$7+IF(K7="",0,K7)*Resumen!$C$9</f>
        <v>1</v>
      </c>
      <c r="N7" s="14">
        <f>IF(I7="",1,I7)*Resumen!$C$6+IF(J7="",1,J7)*Resumen!$C$7+IF(K7="",1,K7)*Resumen!$C$9</f>
        <v>1</v>
      </c>
      <c r="O7" s="13">
        <f t="shared" si="1"/>
        <v>243.43</v>
      </c>
      <c r="P7" s="13">
        <f t="shared" si="2"/>
        <v>243.43</v>
      </c>
      <c r="Q7" s="21" t="s">
        <v>345</v>
      </c>
      <c r="R7" s="21" t="s">
        <v>341</v>
      </c>
      <c r="S7" s="21" t="s">
        <v>341</v>
      </c>
      <c r="T7" s="28"/>
      <c r="U7" s="13">
        <f>H7*((Q7="Oficial")*Resumen!$C$6+(R7="Oficial")*Resumen!$C$7+(S7="Oficial")*Resumen!$C$9)</f>
        <v>109.54350000000001</v>
      </c>
      <c r="V7" s="8" t="str">
        <f t="shared" si="3"/>
        <v>Con entregas verificadas</v>
      </c>
    </row>
    <row r="8" spans="1:22" ht="15" customHeight="1" x14ac:dyDescent="0.25">
      <c r="A8" s="8" t="s">
        <v>136</v>
      </c>
      <c r="B8" s="8" t="s">
        <v>137</v>
      </c>
      <c r="C8" s="8" t="s">
        <v>138</v>
      </c>
      <c r="D8" s="8" t="s">
        <v>139</v>
      </c>
      <c r="E8" s="8" t="s">
        <v>128</v>
      </c>
      <c r="F8" s="16">
        <v>83.2</v>
      </c>
      <c r="H8" s="13">
        <f t="shared" si="0"/>
        <v>83.2</v>
      </c>
      <c r="I8" s="21">
        <v>1</v>
      </c>
      <c r="J8" s="21">
        <v>1</v>
      </c>
      <c r="K8" s="21">
        <v>1</v>
      </c>
      <c r="L8" s="8" t="s">
        <v>369</v>
      </c>
      <c r="M8" s="14">
        <f>IF(I8="",0,I8)*Resumen!$C$6+IF(J8="",0,J8)*Resumen!$C$7+IF(K8="",0,K8)*Resumen!$C$9</f>
        <v>1</v>
      </c>
      <c r="N8" s="14">
        <f>IF(I8="",1,I8)*Resumen!$C$6+IF(J8="",1,J8)*Resumen!$C$7+IF(K8="",1,K8)*Resumen!$C$9</f>
        <v>1</v>
      </c>
      <c r="O8" s="13">
        <f t="shared" si="1"/>
        <v>83.2</v>
      </c>
      <c r="P8" s="13">
        <f t="shared" si="2"/>
        <v>83.2</v>
      </c>
      <c r="Q8" s="21" t="s">
        <v>345</v>
      </c>
      <c r="R8" s="21" t="s">
        <v>341</v>
      </c>
      <c r="S8" s="21" t="s">
        <v>341</v>
      </c>
      <c r="T8" s="28"/>
      <c r="U8" s="13">
        <f>H8*((Q8="Oficial")*Resumen!$C$6+(R8="Oficial")*Resumen!$C$7+(S8="Oficial")*Resumen!$C$9)</f>
        <v>37.440000000000005</v>
      </c>
      <c r="V8" s="8" t="str">
        <f t="shared" si="3"/>
        <v>Con entregas verificadas</v>
      </c>
    </row>
    <row r="9" spans="1:22" ht="15" customHeight="1" x14ac:dyDescent="0.25">
      <c r="A9" s="8" t="s">
        <v>143</v>
      </c>
      <c r="B9" s="8" t="s">
        <v>144</v>
      </c>
      <c r="C9" s="8" t="s">
        <v>126</v>
      </c>
      <c r="D9" s="8" t="s">
        <v>142</v>
      </c>
      <c r="E9" s="8" t="s">
        <v>128</v>
      </c>
      <c r="F9" s="16">
        <v>91</v>
      </c>
      <c r="H9" s="13">
        <f t="shared" si="0"/>
        <v>91</v>
      </c>
      <c r="I9" s="21">
        <v>1</v>
      </c>
      <c r="J9" s="21">
        <v>1</v>
      </c>
      <c r="K9" s="21">
        <v>1</v>
      </c>
      <c r="L9" s="8" t="s">
        <v>369</v>
      </c>
      <c r="M9" s="14">
        <f>IF(I9="",0,I9)*Resumen!$C$6+IF(J9="",0,J9)*Resumen!$C$7+IF(K9="",0,K9)*Resumen!$C$9</f>
        <v>1</v>
      </c>
      <c r="N9" s="14">
        <f>IF(I9="",1,I9)*Resumen!$C$6+IF(J9="",1,J9)*Resumen!$C$7+IF(K9="",1,K9)*Resumen!$C$9</f>
        <v>1</v>
      </c>
      <c r="O9" s="13">
        <f t="shared" si="1"/>
        <v>91</v>
      </c>
      <c r="P9" s="13">
        <f t="shared" si="2"/>
        <v>91</v>
      </c>
      <c r="Q9" s="21" t="s">
        <v>343</v>
      </c>
      <c r="R9" s="21" t="s">
        <v>343</v>
      </c>
      <c r="S9" s="21" t="s">
        <v>343</v>
      </c>
      <c r="T9" s="28"/>
      <c r="U9" s="13">
        <f>H9*((Q9="Oficial")*Resumen!$C$6+(R9="Oficial")*Resumen!$C$7+(S9="Oficial")*Resumen!$C$9)</f>
        <v>0</v>
      </c>
      <c r="V9" s="8" t="str">
        <f t="shared" si="3"/>
        <v>Con entregas verificadas</v>
      </c>
    </row>
    <row r="10" spans="1:22" ht="15" customHeight="1" x14ac:dyDescent="0.25">
      <c r="A10" s="8" t="s">
        <v>254</v>
      </c>
      <c r="B10" s="8" t="s">
        <v>255</v>
      </c>
      <c r="C10" s="8" t="s">
        <v>256</v>
      </c>
      <c r="D10" s="8" t="s">
        <v>257</v>
      </c>
      <c r="E10" s="8" t="s">
        <v>128</v>
      </c>
      <c r="F10" s="16">
        <v>63.7</v>
      </c>
      <c r="H10" s="13">
        <f t="shared" si="0"/>
        <v>63.7</v>
      </c>
      <c r="I10" s="21">
        <v>1</v>
      </c>
      <c r="J10" s="21">
        <v>1</v>
      </c>
      <c r="K10" s="21">
        <v>1</v>
      </c>
      <c r="L10" s="8" t="s">
        <v>369</v>
      </c>
      <c r="M10" s="14">
        <f>IF(I10="",0,I10)*Resumen!$C$6+IF(J10="",0,J10)*Resumen!$C$7+IF(K10="",0,K10)*Resumen!$C$9</f>
        <v>1</v>
      </c>
      <c r="N10" s="14">
        <f>IF(I10="",1,I10)*Resumen!$C$6+IF(J10="",1,J10)*Resumen!$C$7+IF(K10="",1,K10)*Resumen!$C$9</f>
        <v>1</v>
      </c>
      <c r="O10" s="13">
        <f t="shared" si="1"/>
        <v>63.7</v>
      </c>
      <c r="P10" s="13">
        <f t="shared" si="2"/>
        <v>63.7</v>
      </c>
      <c r="Q10" s="27"/>
      <c r="R10" s="27"/>
      <c r="S10" s="27"/>
      <c r="T10" s="28"/>
      <c r="U10" s="13">
        <f>H10*((Q10="Oficial")*Resumen!$C$6+(R10="Oficial")*Resumen!$C$7+(S10="Oficial")*Resumen!$C$9)</f>
        <v>0</v>
      </c>
      <c r="V10" s="8" t="str">
        <f t="shared" si="3"/>
        <v>Con entregas verificadas</v>
      </c>
    </row>
    <row r="11" spans="1:22" ht="15" customHeight="1" x14ac:dyDescent="0.25">
      <c r="A11" s="8" t="s">
        <v>147</v>
      </c>
      <c r="B11" s="8" t="s">
        <v>148</v>
      </c>
      <c r="C11" s="8" t="s">
        <v>149</v>
      </c>
      <c r="D11" s="8" t="s">
        <v>150</v>
      </c>
      <c r="E11" s="8" t="s">
        <v>128</v>
      </c>
      <c r="F11" s="16">
        <v>161.19999999999999</v>
      </c>
      <c r="H11" s="13">
        <f t="shared" si="0"/>
        <v>161.19999999999999</v>
      </c>
      <c r="I11" s="21">
        <v>1</v>
      </c>
      <c r="J11" s="21">
        <v>1</v>
      </c>
      <c r="K11" s="21">
        <v>1</v>
      </c>
      <c r="L11" s="8" t="s">
        <v>369</v>
      </c>
      <c r="M11" s="14">
        <f>IF(I11="",0,I11)*Resumen!$C$6+IF(J11="",0,J11)*Resumen!$C$7+IF(K11="",0,K11)*Resumen!$C$9</f>
        <v>1</v>
      </c>
      <c r="N11" s="14">
        <f>IF(I11="",1,I11)*Resumen!$C$6+IF(J11="",1,J11)*Resumen!$C$7+IF(K11="",1,K11)*Resumen!$C$9</f>
        <v>1</v>
      </c>
      <c r="O11" s="13">
        <f t="shared" si="1"/>
        <v>161.19999999999999</v>
      </c>
      <c r="P11" s="13">
        <f t="shared" si="2"/>
        <v>161.19999999999999</v>
      </c>
      <c r="Q11" s="21" t="s">
        <v>345</v>
      </c>
      <c r="R11" s="21" t="s">
        <v>343</v>
      </c>
      <c r="S11" s="21" t="s">
        <v>343</v>
      </c>
      <c r="T11" s="28"/>
      <c r="U11" s="13">
        <f>H11*((Q11="Oficial")*Resumen!$C$6+(R11="Oficial")*Resumen!$C$7+(S11="Oficial")*Resumen!$C$9)</f>
        <v>72.539999999999992</v>
      </c>
      <c r="V11" s="8" t="str">
        <f t="shared" si="3"/>
        <v>Con entregas verificadas</v>
      </c>
    </row>
    <row r="12" spans="1:22" ht="15" customHeight="1" x14ac:dyDescent="0.25">
      <c r="A12" s="8" t="s">
        <v>151</v>
      </c>
      <c r="B12" s="8" t="s">
        <v>152</v>
      </c>
      <c r="C12" s="8" t="s">
        <v>149</v>
      </c>
      <c r="D12" s="8" t="s">
        <v>150</v>
      </c>
      <c r="E12" s="8" t="s">
        <v>128</v>
      </c>
      <c r="F12" s="16">
        <v>331.5</v>
      </c>
      <c r="H12" s="13">
        <f t="shared" si="0"/>
        <v>331.5</v>
      </c>
      <c r="I12" s="21">
        <v>1</v>
      </c>
      <c r="J12" s="21">
        <v>1</v>
      </c>
      <c r="K12" s="21">
        <v>1</v>
      </c>
      <c r="L12" s="8" t="s">
        <v>369</v>
      </c>
      <c r="M12" s="14">
        <f>IF(I12="",0,I12)*Resumen!$C$6+IF(J12="",0,J12)*Resumen!$C$7+IF(K12="",0,K12)*Resumen!$C$9</f>
        <v>1</v>
      </c>
      <c r="N12" s="14">
        <f>IF(I12="",1,I12)*Resumen!$C$6+IF(J12="",1,J12)*Resumen!$C$7+IF(K12="",1,K12)*Resumen!$C$9</f>
        <v>1</v>
      </c>
      <c r="O12" s="13">
        <f t="shared" si="1"/>
        <v>331.5</v>
      </c>
      <c r="P12" s="13">
        <f t="shared" si="2"/>
        <v>331.5</v>
      </c>
      <c r="Q12" s="21" t="s">
        <v>341</v>
      </c>
      <c r="R12" s="21" t="s">
        <v>341</v>
      </c>
      <c r="S12" s="27"/>
      <c r="T12" s="28"/>
      <c r="U12" s="13">
        <f>H12*((Q12="Oficial")*Resumen!$C$6+(R12="Oficial")*Resumen!$C$7+(S12="Oficial")*Resumen!$C$9)</f>
        <v>0</v>
      </c>
      <c r="V12" s="8" t="str">
        <f t="shared" si="3"/>
        <v>Con entregas verificadas</v>
      </c>
    </row>
    <row r="13" spans="1:22" ht="15" customHeight="1" x14ac:dyDescent="0.25">
      <c r="A13" s="8" t="s">
        <v>153</v>
      </c>
      <c r="B13" s="8" t="s">
        <v>154</v>
      </c>
      <c r="C13" s="8" t="s">
        <v>149</v>
      </c>
      <c r="D13" s="8" t="s">
        <v>150</v>
      </c>
      <c r="E13" s="8" t="s">
        <v>128</v>
      </c>
      <c r="F13" s="16">
        <v>297.7</v>
      </c>
      <c r="G13" s="16">
        <v>371.25</v>
      </c>
      <c r="H13" s="13">
        <f t="shared" si="0"/>
        <v>371.25</v>
      </c>
      <c r="I13" s="21">
        <v>1</v>
      </c>
      <c r="J13" s="21">
        <v>1</v>
      </c>
      <c r="K13" s="21">
        <v>1</v>
      </c>
      <c r="L13" s="8" t="s">
        <v>369</v>
      </c>
      <c r="M13" s="14">
        <f>IF(I13="",0,I13)*Resumen!$C$6+IF(J13="",0,J13)*Resumen!$C$7+IF(K13="",0,K13)*Resumen!$C$9</f>
        <v>1</v>
      </c>
      <c r="N13" s="14">
        <f>IF(I13="",1,I13)*Resumen!$C$6+IF(J13="",1,J13)*Resumen!$C$7+IF(K13="",1,K13)*Resumen!$C$9</f>
        <v>1</v>
      </c>
      <c r="O13" s="13">
        <f t="shared" si="1"/>
        <v>371.25</v>
      </c>
      <c r="P13" s="13">
        <f t="shared" si="2"/>
        <v>371.25</v>
      </c>
      <c r="Q13" s="21" t="s">
        <v>341</v>
      </c>
      <c r="R13" s="21" t="s">
        <v>345</v>
      </c>
      <c r="S13" s="21" t="s">
        <v>341</v>
      </c>
      <c r="T13" s="28"/>
      <c r="U13" s="13">
        <f>H13*((Q13="Oficial")*Resumen!$C$6+(R13="Oficial")*Resumen!$C$7+(S13="Oficial")*Resumen!$C$9)</f>
        <v>167.0625</v>
      </c>
      <c r="V13" s="8" t="str">
        <f t="shared" si="3"/>
        <v>Con entregas verificadas</v>
      </c>
    </row>
    <row r="14" spans="1:22" ht="15" customHeight="1" x14ac:dyDescent="0.25">
      <c r="A14" s="8" t="s">
        <v>258</v>
      </c>
      <c r="B14" s="8" t="s">
        <v>259</v>
      </c>
      <c r="C14" s="8" t="s">
        <v>157</v>
      </c>
      <c r="D14" s="8" t="s">
        <v>260</v>
      </c>
      <c r="E14" s="8" t="s">
        <v>128</v>
      </c>
      <c r="F14" s="16">
        <v>374.4</v>
      </c>
      <c r="H14" s="13">
        <f t="shared" si="0"/>
        <v>374.4</v>
      </c>
      <c r="I14" s="21">
        <v>1</v>
      </c>
      <c r="J14" s="21">
        <v>1</v>
      </c>
      <c r="K14" s="21">
        <v>1</v>
      </c>
      <c r="L14" s="8" t="s">
        <v>369</v>
      </c>
      <c r="M14" s="14">
        <f>IF(I14="",0,I14)*Resumen!$C$6+IF(J14="",0,J14)*Resumen!$C$7+IF(K14="",0,K14)*Resumen!$C$9</f>
        <v>1</v>
      </c>
      <c r="N14" s="14">
        <f>IF(I14="",1,I14)*Resumen!$C$6+IF(J14="",1,J14)*Resumen!$C$7+IF(K14="",1,K14)*Resumen!$C$9</f>
        <v>1</v>
      </c>
      <c r="O14" s="13">
        <f t="shared" si="1"/>
        <v>374.4</v>
      </c>
      <c r="P14" s="13">
        <f t="shared" si="2"/>
        <v>374.4</v>
      </c>
      <c r="Q14" s="21" t="s">
        <v>345</v>
      </c>
      <c r="R14" s="21" t="s">
        <v>343</v>
      </c>
      <c r="S14" s="21" t="s">
        <v>345</v>
      </c>
      <c r="T14" s="28"/>
      <c r="U14" s="13">
        <f>H14*((Q14="Oficial")*Resumen!$C$6+(R14="Oficial")*Resumen!$C$7+(S14="Oficial")*Resumen!$C$9)</f>
        <v>205.92000000000002</v>
      </c>
      <c r="V14" s="8" t="str">
        <f t="shared" si="3"/>
        <v>Con entregas verificadas</v>
      </c>
    </row>
    <row r="15" spans="1:22" ht="15" customHeight="1" x14ac:dyDescent="0.25">
      <c r="A15" s="8" t="s">
        <v>261</v>
      </c>
      <c r="B15" s="8" t="s">
        <v>262</v>
      </c>
      <c r="C15" s="8" t="s">
        <v>157</v>
      </c>
      <c r="D15" s="8" t="s">
        <v>158</v>
      </c>
      <c r="E15" s="8" t="s">
        <v>128</v>
      </c>
      <c r="F15" s="16">
        <v>106.6</v>
      </c>
      <c r="H15" s="13">
        <f t="shared" si="0"/>
        <v>106.6</v>
      </c>
      <c r="I15" s="21">
        <v>1</v>
      </c>
      <c r="J15" s="21">
        <v>1</v>
      </c>
      <c r="K15" s="21">
        <v>1</v>
      </c>
      <c r="L15" s="8" t="s">
        <v>369</v>
      </c>
      <c r="M15" s="14">
        <f>IF(I15="",0,I15)*Resumen!$C$6+IF(J15="",0,J15)*Resumen!$C$7+IF(K15="",0,K15)*Resumen!$C$9</f>
        <v>1</v>
      </c>
      <c r="N15" s="14">
        <f>IF(I15="",1,I15)*Resumen!$C$6+IF(J15="",1,J15)*Resumen!$C$7+IF(K15="",1,K15)*Resumen!$C$9</f>
        <v>1</v>
      </c>
      <c r="O15" s="13">
        <f t="shared" si="1"/>
        <v>106.6</v>
      </c>
      <c r="P15" s="13">
        <f t="shared" si="2"/>
        <v>106.6</v>
      </c>
      <c r="Q15" s="21" t="s">
        <v>341</v>
      </c>
      <c r="R15" s="21" t="s">
        <v>341</v>
      </c>
      <c r="S15" s="21" t="s">
        <v>343</v>
      </c>
      <c r="T15" s="28"/>
      <c r="U15" s="13">
        <f>H15*((Q15="Oficial")*Resumen!$C$6+(R15="Oficial")*Resumen!$C$7+(S15="Oficial")*Resumen!$C$9)</f>
        <v>0</v>
      </c>
      <c r="V15" s="8" t="str">
        <f t="shared" si="3"/>
        <v>Con entregas verificadas</v>
      </c>
    </row>
    <row r="16" spans="1:22" ht="15" customHeight="1" x14ac:dyDescent="0.25">
      <c r="A16" s="8" t="s">
        <v>155</v>
      </c>
      <c r="B16" s="8" t="s">
        <v>156</v>
      </c>
      <c r="C16" s="8" t="s">
        <v>157</v>
      </c>
      <c r="D16" s="8" t="s">
        <v>158</v>
      </c>
      <c r="E16" s="8" t="s">
        <v>128</v>
      </c>
      <c r="F16" s="16">
        <v>263.89999999999998</v>
      </c>
      <c r="H16" s="13">
        <f t="shared" si="0"/>
        <v>263.89999999999998</v>
      </c>
      <c r="I16" s="21">
        <v>1</v>
      </c>
      <c r="J16" s="21">
        <v>1</v>
      </c>
      <c r="K16" s="21">
        <v>1</v>
      </c>
      <c r="L16" s="8" t="s">
        <v>369</v>
      </c>
      <c r="M16" s="14">
        <f>IF(I16="",0,I16)*Resumen!$C$6+IF(J16="",0,J16)*Resumen!$C$7+IF(K16="",0,K16)*Resumen!$C$9</f>
        <v>1</v>
      </c>
      <c r="N16" s="14">
        <f>IF(I16="",1,I16)*Resumen!$C$6+IF(J16="",1,J16)*Resumen!$C$7+IF(K16="",1,K16)*Resumen!$C$9</f>
        <v>1</v>
      </c>
      <c r="O16" s="13">
        <f t="shared" si="1"/>
        <v>263.89999999999998</v>
      </c>
      <c r="P16" s="13">
        <f t="shared" si="2"/>
        <v>263.89999999999998</v>
      </c>
      <c r="Q16" s="21" t="s">
        <v>345</v>
      </c>
      <c r="R16" s="21" t="s">
        <v>341</v>
      </c>
      <c r="S16" s="21" t="s">
        <v>341</v>
      </c>
      <c r="T16" s="28"/>
      <c r="U16" s="13">
        <f>H16*((Q16="Oficial")*Resumen!$C$6+(R16="Oficial")*Resumen!$C$7+(S16="Oficial")*Resumen!$C$9)</f>
        <v>118.755</v>
      </c>
      <c r="V16" s="8" t="str">
        <f t="shared" si="3"/>
        <v>Con entregas verificadas</v>
      </c>
    </row>
    <row r="17" spans="1:22" ht="15" customHeight="1" x14ac:dyDescent="0.25">
      <c r="A17" s="8" t="s">
        <v>162</v>
      </c>
      <c r="B17" s="8" t="s">
        <v>163</v>
      </c>
      <c r="C17" s="8" t="s">
        <v>149</v>
      </c>
      <c r="D17" s="8" t="s">
        <v>161</v>
      </c>
      <c r="E17" s="8" t="s">
        <v>128</v>
      </c>
      <c r="F17" s="16">
        <v>15.6</v>
      </c>
      <c r="H17" s="13">
        <f t="shared" si="0"/>
        <v>15.6</v>
      </c>
      <c r="I17" s="21">
        <v>1</v>
      </c>
      <c r="J17" s="21">
        <v>1</v>
      </c>
      <c r="K17" s="21">
        <v>1</v>
      </c>
      <c r="L17" s="8" t="s">
        <v>369</v>
      </c>
      <c r="M17" s="14">
        <f>IF(I17="",0,I17)*Resumen!$C$6+IF(J17="",0,J17)*Resumen!$C$7+IF(K17="",0,K17)*Resumen!$C$9</f>
        <v>1</v>
      </c>
      <c r="N17" s="14">
        <f>IF(I17="",1,I17)*Resumen!$C$6+IF(J17="",1,J17)*Resumen!$C$7+IF(K17="",1,K17)*Resumen!$C$9</f>
        <v>1</v>
      </c>
      <c r="O17" s="13">
        <f t="shared" si="1"/>
        <v>15.6</v>
      </c>
      <c r="P17" s="13">
        <f t="shared" si="2"/>
        <v>15.6</v>
      </c>
      <c r="Q17" s="21" t="s">
        <v>341</v>
      </c>
      <c r="R17" s="21" t="s">
        <v>341</v>
      </c>
      <c r="S17" s="21" t="s">
        <v>341</v>
      </c>
      <c r="T17" s="28"/>
      <c r="U17" s="13">
        <f>H17*((Q17="Oficial")*Resumen!$C$6+(R17="Oficial")*Resumen!$C$7+(S17="Oficial")*Resumen!$C$9)</f>
        <v>0</v>
      </c>
      <c r="V17" s="8" t="str">
        <f t="shared" si="3"/>
        <v>Con entregas verificadas</v>
      </c>
    </row>
    <row r="18" spans="1:22" ht="15" customHeight="1" x14ac:dyDescent="0.25">
      <c r="A18" s="8" t="s">
        <v>263</v>
      </c>
      <c r="B18" s="8" t="s">
        <v>264</v>
      </c>
      <c r="C18" s="8" t="s">
        <v>138</v>
      </c>
      <c r="D18" s="8" t="s">
        <v>161</v>
      </c>
      <c r="E18" s="8" t="s">
        <v>128</v>
      </c>
      <c r="F18" s="16">
        <v>70.2</v>
      </c>
      <c r="G18" s="16">
        <v>62.56</v>
      </c>
      <c r="H18" s="13">
        <f t="shared" si="0"/>
        <v>62.56</v>
      </c>
      <c r="I18" s="21">
        <v>1</v>
      </c>
      <c r="J18" s="21">
        <v>1</v>
      </c>
      <c r="K18" s="21">
        <v>1</v>
      </c>
      <c r="L18" s="8" t="s">
        <v>369</v>
      </c>
      <c r="M18" s="14">
        <f>IF(I18="",0,I18)*Resumen!$C$6+IF(J18="",0,J18)*Resumen!$C$7+IF(K18="",0,K18)*Resumen!$C$9</f>
        <v>1</v>
      </c>
      <c r="N18" s="14">
        <f>IF(I18="",1,I18)*Resumen!$C$6+IF(J18="",1,J18)*Resumen!$C$7+IF(K18="",1,K18)*Resumen!$C$9</f>
        <v>1</v>
      </c>
      <c r="O18" s="13">
        <f t="shared" si="1"/>
        <v>62.56</v>
      </c>
      <c r="P18" s="13">
        <f t="shared" si="2"/>
        <v>62.56</v>
      </c>
      <c r="Q18" s="21" t="s">
        <v>345</v>
      </c>
      <c r="R18" s="21" t="s">
        <v>345</v>
      </c>
      <c r="S18" s="21" t="s">
        <v>345</v>
      </c>
      <c r="T18" s="28"/>
      <c r="U18" s="13">
        <f>H18*((Q18="Oficial")*Resumen!$C$6+(R18="Oficial")*Resumen!$C$7+(S18="Oficial")*Resumen!$C$9)</f>
        <v>62.56</v>
      </c>
      <c r="V18" s="8" t="str">
        <f t="shared" si="3"/>
        <v>Con entregas verificadas</v>
      </c>
    </row>
    <row r="19" spans="1:22" ht="15" customHeight="1" x14ac:dyDescent="0.25">
      <c r="A19" s="8" t="s">
        <v>165</v>
      </c>
      <c r="B19" s="8" t="s">
        <v>166</v>
      </c>
      <c r="C19" s="8" t="s">
        <v>149</v>
      </c>
      <c r="D19" s="8" t="s">
        <v>161</v>
      </c>
      <c r="E19" s="8" t="s">
        <v>128</v>
      </c>
      <c r="F19" s="16">
        <v>22.1</v>
      </c>
      <c r="H19" s="13">
        <f t="shared" si="0"/>
        <v>22.1</v>
      </c>
      <c r="I19" s="21">
        <v>1</v>
      </c>
      <c r="J19" s="21">
        <v>1</v>
      </c>
      <c r="K19" s="21">
        <v>1</v>
      </c>
      <c r="L19" s="8" t="s">
        <v>369</v>
      </c>
      <c r="M19" s="14">
        <f>IF(I19="",0,I19)*Resumen!$C$6+IF(J19="",0,J19)*Resumen!$C$7+IF(K19="",0,K19)*Resumen!$C$9</f>
        <v>1</v>
      </c>
      <c r="N19" s="14">
        <f>IF(I19="",1,I19)*Resumen!$C$6+IF(J19="",1,J19)*Resumen!$C$7+IF(K19="",1,K19)*Resumen!$C$9</f>
        <v>1</v>
      </c>
      <c r="O19" s="13">
        <f t="shared" si="1"/>
        <v>22.1</v>
      </c>
      <c r="P19" s="13">
        <f t="shared" si="2"/>
        <v>22.1</v>
      </c>
      <c r="Q19" s="21" t="s">
        <v>343</v>
      </c>
      <c r="R19" s="27"/>
      <c r="S19" s="21" t="s">
        <v>341</v>
      </c>
      <c r="T19" s="28"/>
      <c r="U19" s="13">
        <f>H19*((Q19="Oficial")*Resumen!$C$6+(R19="Oficial")*Resumen!$C$7+(S19="Oficial")*Resumen!$C$9)</f>
        <v>0</v>
      </c>
      <c r="V19" s="8" t="str">
        <f t="shared" si="3"/>
        <v>Con entregas verificadas</v>
      </c>
    </row>
    <row r="20" spans="1:22" ht="15" customHeight="1" x14ac:dyDescent="0.25">
      <c r="A20" s="8" t="s">
        <v>167</v>
      </c>
      <c r="B20" s="8" t="s">
        <v>168</v>
      </c>
      <c r="C20" s="8" t="s">
        <v>138</v>
      </c>
      <c r="D20" s="8" t="s">
        <v>161</v>
      </c>
      <c r="E20" s="8" t="s">
        <v>128</v>
      </c>
      <c r="F20" s="16">
        <v>76.7</v>
      </c>
      <c r="G20" s="16">
        <v>96.5</v>
      </c>
      <c r="H20" s="13">
        <f t="shared" si="0"/>
        <v>96.5</v>
      </c>
      <c r="I20" s="21">
        <v>1</v>
      </c>
      <c r="J20" s="21">
        <v>1</v>
      </c>
      <c r="K20" s="21">
        <v>1</v>
      </c>
      <c r="L20" s="8" t="s">
        <v>369</v>
      </c>
      <c r="M20" s="14">
        <f>IF(I20="",0,I20)*Resumen!$C$6+IF(J20="",0,J20)*Resumen!$C$7+IF(K20="",0,K20)*Resumen!$C$9</f>
        <v>1</v>
      </c>
      <c r="N20" s="14">
        <f>IF(I20="",1,I20)*Resumen!$C$6+IF(J20="",1,J20)*Resumen!$C$7+IF(K20="",1,K20)*Resumen!$C$9</f>
        <v>1</v>
      </c>
      <c r="O20" s="13">
        <f t="shared" si="1"/>
        <v>96.5</v>
      </c>
      <c r="P20" s="13">
        <f t="shared" si="2"/>
        <v>96.5</v>
      </c>
      <c r="Q20" s="21" t="s">
        <v>341</v>
      </c>
      <c r="R20" s="21" t="s">
        <v>345</v>
      </c>
      <c r="S20" s="21" t="s">
        <v>343</v>
      </c>
      <c r="T20" s="28"/>
      <c r="U20" s="13">
        <f>H20*((Q20="Oficial")*Resumen!$C$6+(R20="Oficial")*Resumen!$C$7+(S20="Oficial")*Resumen!$C$9)</f>
        <v>43.425000000000004</v>
      </c>
      <c r="V20" s="8" t="str">
        <f t="shared" si="3"/>
        <v>Con entregas verificadas</v>
      </c>
    </row>
    <row r="21" spans="1:22" ht="15" customHeight="1" x14ac:dyDescent="0.25">
      <c r="A21" s="8" t="s">
        <v>171</v>
      </c>
      <c r="B21" s="8" t="s">
        <v>172</v>
      </c>
      <c r="C21" s="8" t="s">
        <v>149</v>
      </c>
      <c r="D21" s="8" t="s">
        <v>161</v>
      </c>
      <c r="E21" s="8" t="s">
        <v>128</v>
      </c>
      <c r="F21" s="16">
        <v>13</v>
      </c>
      <c r="H21" s="13">
        <f t="shared" si="0"/>
        <v>13</v>
      </c>
      <c r="I21" s="21">
        <v>1</v>
      </c>
      <c r="J21" s="21">
        <v>1</v>
      </c>
      <c r="K21" s="21">
        <v>1</v>
      </c>
      <c r="L21" s="8" t="s">
        <v>369</v>
      </c>
      <c r="M21" s="14">
        <f>IF(I21="",0,I21)*Resumen!$C$6+IF(J21="",0,J21)*Resumen!$C$7+IF(K21="",0,K21)*Resumen!$C$9</f>
        <v>1</v>
      </c>
      <c r="N21" s="14">
        <f>IF(I21="",1,I21)*Resumen!$C$6+IF(J21="",1,J21)*Resumen!$C$7+IF(K21="",1,K21)*Resumen!$C$9</f>
        <v>1</v>
      </c>
      <c r="O21" s="13">
        <f t="shared" si="1"/>
        <v>13</v>
      </c>
      <c r="P21" s="13">
        <f t="shared" si="2"/>
        <v>13</v>
      </c>
      <c r="Q21" s="27"/>
      <c r="R21" s="27"/>
      <c r="S21" s="27"/>
      <c r="T21" s="28"/>
      <c r="U21" s="13">
        <f>H21*((Q21="Oficial")*Resumen!$C$6+(R21="Oficial")*Resumen!$C$7+(S21="Oficial")*Resumen!$C$9)</f>
        <v>0</v>
      </c>
      <c r="V21" s="8" t="str">
        <f t="shared" si="3"/>
        <v>Con entregas verificadas</v>
      </c>
    </row>
    <row r="22" spans="1:22" ht="15" customHeight="1" x14ac:dyDescent="0.25">
      <c r="A22" s="8" t="s">
        <v>173</v>
      </c>
      <c r="B22" s="8" t="s">
        <v>174</v>
      </c>
      <c r="C22" s="8" t="s">
        <v>138</v>
      </c>
      <c r="D22" s="8" t="s">
        <v>161</v>
      </c>
      <c r="E22" s="8" t="s">
        <v>128</v>
      </c>
      <c r="F22" s="16">
        <v>57.2</v>
      </c>
      <c r="H22" s="13">
        <f t="shared" si="0"/>
        <v>57.2</v>
      </c>
      <c r="I22" s="21">
        <v>1</v>
      </c>
      <c r="J22" s="21">
        <v>1</v>
      </c>
      <c r="K22" s="21">
        <v>1</v>
      </c>
      <c r="L22" s="8" t="s">
        <v>369</v>
      </c>
      <c r="M22" s="14">
        <f>IF(I22="",0,I22)*Resumen!$C$6+IF(J22="",0,J22)*Resumen!$C$7+IF(K22="",0,K22)*Resumen!$C$9</f>
        <v>1</v>
      </c>
      <c r="N22" s="14">
        <f>IF(I22="",1,I22)*Resumen!$C$6+IF(J22="",1,J22)*Resumen!$C$7+IF(K22="",1,K22)*Resumen!$C$9</f>
        <v>1</v>
      </c>
      <c r="O22" s="13">
        <f t="shared" si="1"/>
        <v>57.2</v>
      </c>
      <c r="P22" s="13">
        <f t="shared" si="2"/>
        <v>57.2</v>
      </c>
      <c r="Q22" s="21" t="s">
        <v>343</v>
      </c>
      <c r="R22" s="21" t="s">
        <v>343</v>
      </c>
      <c r="S22" s="21" t="s">
        <v>343</v>
      </c>
      <c r="T22" s="28"/>
      <c r="U22" s="13">
        <f>H22*((Q22="Oficial")*Resumen!$C$6+(R22="Oficial")*Resumen!$C$7+(S22="Oficial")*Resumen!$C$9)</f>
        <v>0</v>
      </c>
      <c r="V22" s="8" t="str">
        <f t="shared" si="3"/>
        <v>Con entregas verificadas</v>
      </c>
    </row>
    <row r="23" spans="1:22" ht="15" customHeight="1" x14ac:dyDescent="0.25">
      <c r="A23" s="8" t="s">
        <v>175</v>
      </c>
      <c r="B23" s="8" t="s">
        <v>176</v>
      </c>
      <c r="C23" s="8" t="s">
        <v>177</v>
      </c>
      <c r="D23" s="8" t="s">
        <v>161</v>
      </c>
      <c r="E23" s="8" t="s">
        <v>128</v>
      </c>
      <c r="F23" s="16">
        <v>32.5</v>
      </c>
      <c r="H23" s="13">
        <f t="shared" si="0"/>
        <v>32.5</v>
      </c>
      <c r="I23" s="21">
        <v>1</v>
      </c>
      <c r="J23" s="21">
        <v>1</v>
      </c>
      <c r="K23" s="21">
        <v>1</v>
      </c>
      <c r="L23" s="8" t="s">
        <v>369</v>
      </c>
      <c r="M23" s="14">
        <f>IF(I23="",0,I23)*Resumen!$C$6+IF(J23="",0,J23)*Resumen!$C$7+IF(K23="",0,K23)*Resumen!$C$9</f>
        <v>1</v>
      </c>
      <c r="N23" s="14">
        <f>IF(I23="",1,I23)*Resumen!$C$6+IF(J23="",1,J23)*Resumen!$C$7+IF(K23="",1,K23)*Resumen!$C$9</f>
        <v>1</v>
      </c>
      <c r="O23" s="13">
        <f t="shared" si="1"/>
        <v>32.5</v>
      </c>
      <c r="P23" s="13">
        <f t="shared" si="2"/>
        <v>32.5</v>
      </c>
      <c r="Q23" s="21" t="s">
        <v>343</v>
      </c>
      <c r="R23" s="21" t="s">
        <v>345</v>
      </c>
      <c r="S23" s="21" t="s">
        <v>345</v>
      </c>
      <c r="T23" s="28"/>
      <c r="U23" s="13">
        <f>H23*((Q23="Oficial")*Resumen!$C$6+(R23="Oficial")*Resumen!$C$7+(S23="Oficial")*Resumen!$C$9)</f>
        <v>17.875</v>
      </c>
      <c r="V23" s="8" t="str">
        <f t="shared" si="3"/>
        <v>Con entregas verificadas</v>
      </c>
    </row>
    <row r="24" spans="1:22" ht="15" customHeight="1" x14ac:dyDescent="0.25">
      <c r="A24" s="8" t="s">
        <v>181</v>
      </c>
      <c r="B24" s="8" t="s">
        <v>182</v>
      </c>
      <c r="C24" s="8" t="s">
        <v>149</v>
      </c>
      <c r="D24" s="8" t="s">
        <v>161</v>
      </c>
      <c r="E24" s="8" t="s">
        <v>128</v>
      </c>
      <c r="F24" s="16">
        <v>107.9</v>
      </c>
      <c r="H24" s="13">
        <f t="shared" si="0"/>
        <v>107.9</v>
      </c>
      <c r="I24" s="21">
        <v>1</v>
      </c>
      <c r="J24" s="21">
        <v>1</v>
      </c>
      <c r="K24" s="21">
        <v>1</v>
      </c>
      <c r="L24" s="8" t="s">
        <v>369</v>
      </c>
      <c r="M24" s="14">
        <f>IF(I24="",0,I24)*Resumen!$C$6+IF(J24="",0,J24)*Resumen!$C$7+IF(K24="",0,K24)*Resumen!$C$9</f>
        <v>1</v>
      </c>
      <c r="N24" s="14">
        <f>IF(I24="",1,I24)*Resumen!$C$6+IF(J24="",1,J24)*Resumen!$C$7+IF(K24="",1,K24)*Resumen!$C$9</f>
        <v>1</v>
      </c>
      <c r="O24" s="13">
        <f t="shared" si="1"/>
        <v>107.9</v>
      </c>
      <c r="P24" s="13">
        <f t="shared" si="2"/>
        <v>107.9</v>
      </c>
      <c r="Q24" s="21" t="s">
        <v>341</v>
      </c>
      <c r="R24" s="21" t="s">
        <v>341</v>
      </c>
      <c r="S24" s="21" t="s">
        <v>341</v>
      </c>
      <c r="T24" s="28"/>
      <c r="U24" s="13">
        <f>H24*((Q24="Oficial")*Resumen!$C$6+(R24="Oficial")*Resumen!$C$7+(S24="Oficial")*Resumen!$C$9)</f>
        <v>0</v>
      </c>
      <c r="V24" s="8" t="str">
        <f t="shared" si="3"/>
        <v>Con entregas verificadas</v>
      </c>
    </row>
    <row r="25" spans="1:22" ht="15" customHeight="1" x14ac:dyDescent="0.25">
      <c r="A25" s="8" t="s">
        <v>186</v>
      </c>
      <c r="B25" s="8" t="s">
        <v>187</v>
      </c>
      <c r="C25" s="8" t="s">
        <v>157</v>
      </c>
      <c r="D25" s="8" t="s">
        <v>161</v>
      </c>
      <c r="E25" s="8" t="s">
        <v>128</v>
      </c>
      <c r="F25" s="16">
        <v>98.8</v>
      </c>
      <c r="G25" s="16">
        <v>194.38</v>
      </c>
      <c r="H25" s="13">
        <f t="shared" si="0"/>
        <v>194.38</v>
      </c>
      <c r="I25" s="21">
        <v>1</v>
      </c>
      <c r="J25" s="21">
        <v>1</v>
      </c>
      <c r="K25" s="21">
        <v>1</v>
      </c>
      <c r="L25" s="8" t="s">
        <v>369</v>
      </c>
      <c r="M25" s="14">
        <f>IF(I25="",0,I25)*Resumen!$C$6+IF(J25="",0,J25)*Resumen!$C$7+IF(K25="",0,K25)*Resumen!$C$9</f>
        <v>1</v>
      </c>
      <c r="N25" s="14">
        <f>IF(I25="",1,I25)*Resumen!$C$6+IF(J25="",1,J25)*Resumen!$C$7+IF(K25="",1,K25)*Resumen!$C$9</f>
        <v>1</v>
      </c>
      <c r="O25" s="13">
        <f t="shared" si="1"/>
        <v>194.38</v>
      </c>
      <c r="P25" s="13">
        <f t="shared" si="2"/>
        <v>194.38</v>
      </c>
      <c r="Q25" s="21" t="s">
        <v>341</v>
      </c>
      <c r="R25" s="21" t="s">
        <v>345</v>
      </c>
      <c r="S25" s="21" t="s">
        <v>341</v>
      </c>
      <c r="T25" s="28"/>
      <c r="U25" s="13">
        <f>H25*((Q25="Oficial")*Resumen!$C$6+(R25="Oficial")*Resumen!$C$7+(S25="Oficial")*Resumen!$C$9)</f>
        <v>87.471000000000004</v>
      </c>
      <c r="V25" s="8" t="str">
        <f t="shared" si="3"/>
        <v>Con entregas verificadas</v>
      </c>
    </row>
    <row r="26" spans="1:22" ht="15" customHeight="1" x14ac:dyDescent="0.25">
      <c r="A26" s="8" t="s">
        <v>265</v>
      </c>
      <c r="B26" s="8" t="s">
        <v>266</v>
      </c>
      <c r="C26" s="8" t="s">
        <v>180</v>
      </c>
      <c r="D26" s="8" t="s">
        <v>161</v>
      </c>
      <c r="E26" s="8" t="s">
        <v>128</v>
      </c>
      <c r="F26" s="16">
        <v>212.11</v>
      </c>
      <c r="H26" s="13">
        <f t="shared" si="0"/>
        <v>212.11</v>
      </c>
      <c r="I26" s="21">
        <v>1</v>
      </c>
      <c r="J26" s="21">
        <v>1</v>
      </c>
      <c r="K26" s="21">
        <v>1</v>
      </c>
      <c r="L26" s="8" t="s">
        <v>369</v>
      </c>
      <c r="M26" s="14">
        <f>IF(I26="",0,I26)*Resumen!$C$6+IF(J26="",0,J26)*Resumen!$C$7+IF(K26="",0,K26)*Resumen!$C$9</f>
        <v>1</v>
      </c>
      <c r="N26" s="14">
        <f>IF(I26="",1,I26)*Resumen!$C$6+IF(J26="",1,J26)*Resumen!$C$7+IF(K26="",1,K26)*Resumen!$C$9</f>
        <v>1</v>
      </c>
      <c r="O26" s="13">
        <f t="shared" si="1"/>
        <v>212.11</v>
      </c>
      <c r="P26" s="13">
        <f t="shared" si="2"/>
        <v>212.11</v>
      </c>
      <c r="Q26" s="21" t="s">
        <v>341</v>
      </c>
      <c r="R26" s="21" t="s">
        <v>341</v>
      </c>
      <c r="S26" s="21" t="s">
        <v>341</v>
      </c>
      <c r="T26" s="28"/>
      <c r="U26" s="13">
        <f>H26*((Q26="Oficial")*Resumen!$C$6+(R26="Oficial")*Resumen!$C$7+(S26="Oficial")*Resumen!$C$9)</f>
        <v>0</v>
      </c>
      <c r="V26" s="8" t="str">
        <f t="shared" si="3"/>
        <v>Con entregas verificadas</v>
      </c>
    </row>
    <row r="27" spans="1:22" ht="15" customHeight="1" x14ac:dyDescent="0.25">
      <c r="A27" s="8" t="s">
        <v>188</v>
      </c>
      <c r="B27" s="8" t="s">
        <v>189</v>
      </c>
      <c r="C27" s="8" t="s">
        <v>149</v>
      </c>
      <c r="D27" s="8" t="s">
        <v>161</v>
      </c>
      <c r="E27" s="8" t="s">
        <v>128</v>
      </c>
      <c r="F27" s="16">
        <v>158.6</v>
      </c>
      <c r="H27" s="13">
        <f t="shared" si="0"/>
        <v>158.6</v>
      </c>
      <c r="I27" s="21">
        <v>1</v>
      </c>
      <c r="J27" s="21">
        <v>1</v>
      </c>
      <c r="K27" s="21">
        <v>1</v>
      </c>
      <c r="L27" s="8" t="s">
        <v>369</v>
      </c>
      <c r="M27" s="14">
        <f>IF(I27="",0,I27)*Resumen!$C$6+IF(J27="",0,J27)*Resumen!$C$7+IF(K27="",0,K27)*Resumen!$C$9</f>
        <v>1</v>
      </c>
      <c r="N27" s="14">
        <f>IF(I27="",1,I27)*Resumen!$C$6+IF(J27="",1,J27)*Resumen!$C$7+IF(K27="",1,K27)*Resumen!$C$9</f>
        <v>1</v>
      </c>
      <c r="O27" s="13">
        <f t="shared" si="1"/>
        <v>158.6</v>
      </c>
      <c r="P27" s="13">
        <f t="shared" si="2"/>
        <v>158.6</v>
      </c>
      <c r="Q27" s="21" t="s">
        <v>345</v>
      </c>
      <c r="R27" s="21" t="s">
        <v>343</v>
      </c>
      <c r="S27" s="21" t="s">
        <v>341</v>
      </c>
      <c r="T27" s="28"/>
      <c r="U27" s="13">
        <f>H27*((Q27="Oficial")*Resumen!$C$6+(R27="Oficial")*Resumen!$C$7+(S27="Oficial")*Resumen!$C$9)</f>
        <v>71.37</v>
      </c>
      <c r="V27" s="8" t="str">
        <f t="shared" si="3"/>
        <v>Con entregas verificadas</v>
      </c>
    </row>
    <row r="28" spans="1:22" ht="15" customHeight="1" x14ac:dyDescent="0.25">
      <c r="A28" s="8" t="s">
        <v>190</v>
      </c>
      <c r="B28" s="8" t="s">
        <v>191</v>
      </c>
      <c r="C28" s="8" t="s">
        <v>149</v>
      </c>
      <c r="D28" s="8" t="s">
        <v>161</v>
      </c>
      <c r="E28" s="8" t="s">
        <v>128</v>
      </c>
      <c r="F28" s="16">
        <v>41.6</v>
      </c>
      <c r="H28" s="13">
        <f t="shared" si="0"/>
        <v>41.6</v>
      </c>
      <c r="I28" s="21">
        <v>1</v>
      </c>
      <c r="J28" s="21">
        <v>1</v>
      </c>
      <c r="K28" s="21">
        <v>1</v>
      </c>
      <c r="L28" s="8" t="s">
        <v>369</v>
      </c>
      <c r="M28" s="14">
        <f>IF(I28="",0,I28)*Resumen!$C$6+IF(J28="",0,J28)*Resumen!$C$7+IF(K28="",0,K28)*Resumen!$C$9</f>
        <v>1</v>
      </c>
      <c r="N28" s="14">
        <f>IF(I28="",1,I28)*Resumen!$C$6+IF(J28="",1,J28)*Resumen!$C$7+IF(K28="",1,K28)*Resumen!$C$9</f>
        <v>1</v>
      </c>
      <c r="O28" s="13">
        <f t="shared" si="1"/>
        <v>41.6</v>
      </c>
      <c r="P28" s="13">
        <f t="shared" si="2"/>
        <v>41.6</v>
      </c>
      <c r="Q28" s="21" t="s">
        <v>345</v>
      </c>
      <c r="R28" s="21" t="s">
        <v>345</v>
      </c>
      <c r="S28" s="21" t="s">
        <v>345</v>
      </c>
      <c r="T28" s="28"/>
      <c r="U28" s="13">
        <f>H28*((Q28="Oficial")*Resumen!$C$6+(R28="Oficial")*Resumen!$C$7+(S28="Oficial")*Resumen!$C$9)</f>
        <v>41.6</v>
      </c>
      <c r="V28" s="8" t="str">
        <f t="shared" si="3"/>
        <v>Con entregas verificadas</v>
      </c>
    </row>
    <row r="29" spans="1:22" ht="15" customHeight="1" x14ac:dyDescent="0.25">
      <c r="A29" s="8" t="s">
        <v>267</v>
      </c>
      <c r="B29" s="8" t="s">
        <v>268</v>
      </c>
      <c r="C29" s="8" t="s">
        <v>180</v>
      </c>
      <c r="D29" s="8" t="s">
        <v>161</v>
      </c>
      <c r="E29" s="8" t="s">
        <v>128</v>
      </c>
      <c r="F29" s="16">
        <v>1391</v>
      </c>
      <c r="G29" s="16">
        <v>1092.6199999999999</v>
      </c>
      <c r="H29" s="13">
        <f t="shared" si="0"/>
        <v>1092.6199999999999</v>
      </c>
      <c r="I29" s="21">
        <v>1</v>
      </c>
      <c r="J29" s="21">
        <v>1</v>
      </c>
      <c r="K29" s="21">
        <v>1</v>
      </c>
      <c r="L29" s="8" t="s">
        <v>369</v>
      </c>
      <c r="M29" s="14">
        <f>IF(I29="",0,I29)*Resumen!$C$6+IF(J29="",0,J29)*Resumen!$C$7+IF(K29="",0,K29)*Resumen!$C$9</f>
        <v>1</v>
      </c>
      <c r="N29" s="14">
        <f>IF(I29="",1,I29)*Resumen!$C$6+IF(J29="",1,J29)*Resumen!$C$7+IF(K29="",1,K29)*Resumen!$C$9</f>
        <v>1</v>
      </c>
      <c r="O29" s="13">
        <f t="shared" si="1"/>
        <v>1092.6199999999999</v>
      </c>
      <c r="P29" s="13">
        <f t="shared" si="2"/>
        <v>1092.6199999999999</v>
      </c>
      <c r="Q29" s="21" t="s">
        <v>345</v>
      </c>
      <c r="R29" s="21" t="s">
        <v>345</v>
      </c>
      <c r="S29" s="21" t="s">
        <v>343</v>
      </c>
      <c r="T29" s="28"/>
      <c r="U29" s="13">
        <f>H29*((Q29="Oficial")*Resumen!$C$6+(R29="Oficial")*Resumen!$C$7+(S29="Oficial")*Resumen!$C$9)</f>
        <v>983.35799999999995</v>
      </c>
      <c r="V29" s="8" t="str">
        <f t="shared" si="3"/>
        <v>Con entregas verificadas</v>
      </c>
    </row>
    <row r="30" spans="1:22" ht="15" customHeight="1" x14ac:dyDescent="0.25">
      <c r="A30" s="8" t="s">
        <v>192</v>
      </c>
      <c r="B30" s="8" t="s">
        <v>193</v>
      </c>
      <c r="C30" s="8" t="s">
        <v>138</v>
      </c>
      <c r="D30" s="8" t="s">
        <v>161</v>
      </c>
      <c r="E30" s="8" t="s">
        <v>128</v>
      </c>
      <c r="F30" s="16">
        <v>119.6</v>
      </c>
      <c r="G30" s="16">
        <v>163.82</v>
      </c>
      <c r="H30" s="13">
        <f t="shared" si="0"/>
        <v>163.82</v>
      </c>
      <c r="I30" s="21">
        <v>1</v>
      </c>
      <c r="J30" s="21">
        <v>1</v>
      </c>
      <c r="K30" s="21">
        <v>1</v>
      </c>
      <c r="L30" s="8" t="s">
        <v>369</v>
      </c>
      <c r="M30" s="14">
        <f>IF(I30="",0,I30)*Resumen!$C$6+IF(J30="",0,J30)*Resumen!$C$7+IF(K30="",0,K30)*Resumen!$C$9</f>
        <v>1</v>
      </c>
      <c r="N30" s="14">
        <f>IF(I30="",1,I30)*Resumen!$C$6+IF(J30="",1,J30)*Resumen!$C$7+IF(K30="",1,K30)*Resumen!$C$9</f>
        <v>1</v>
      </c>
      <c r="O30" s="13">
        <f t="shared" si="1"/>
        <v>163.82</v>
      </c>
      <c r="P30" s="13">
        <f t="shared" si="2"/>
        <v>163.82</v>
      </c>
      <c r="Q30" s="21" t="s">
        <v>343</v>
      </c>
      <c r="R30" s="21" t="s">
        <v>341</v>
      </c>
      <c r="S30" s="21" t="s">
        <v>341</v>
      </c>
      <c r="T30" s="28"/>
      <c r="U30" s="13">
        <f>H30*((Q30="Oficial")*Resumen!$C$6+(R30="Oficial")*Resumen!$C$7+(S30="Oficial")*Resumen!$C$9)</f>
        <v>0</v>
      </c>
      <c r="V30" s="8" t="str">
        <f t="shared" si="3"/>
        <v>Con entregas verificadas</v>
      </c>
    </row>
    <row r="31" spans="1:22" ht="15" customHeight="1" x14ac:dyDescent="0.25">
      <c r="A31" s="8" t="s">
        <v>194</v>
      </c>
      <c r="B31" s="8" t="s">
        <v>195</v>
      </c>
      <c r="C31" s="8" t="s">
        <v>149</v>
      </c>
      <c r="D31" s="8" t="s">
        <v>161</v>
      </c>
      <c r="E31" s="8" t="s">
        <v>128</v>
      </c>
      <c r="F31" s="16">
        <v>349.7</v>
      </c>
      <c r="H31" s="13">
        <f t="shared" si="0"/>
        <v>349.7</v>
      </c>
      <c r="I31" s="21">
        <v>1</v>
      </c>
      <c r="J31" s="21">
        <v>1</v>
      </c>
      <c r="K31" s="21">
        <v>1</v>
      </c>
      <c r="L31" s="8" t="s">
        <v>369</v>
      </c>
      <c r="M31" s="14">
        <f>IF(I31="",0,I31)*Resumen!$C$6+IF(J31="",0,J31)*Resumen!$C$7+IF(K31="",0,K31)*Resumen!$C$9</f>
        <v>1</v>
      </c>
      <c r="N31" s="14">
        <f>IF(I31="",1,I31)*Resumen!$C$6+IF(J31="",1,J31)*Resumen!$C$7+IF(K31="",1,K31)*Resumen!$C$9</f>
        <v>1</v>
      </c>
      <c r="O31" s="13">
        <f t="shared" si="1"/>
        <v>349.7</v>
      </c>
      <c r="P31" s="13">
        <f t="shared" si="2"/>
        <v>349.7</v>
      </c>
      <c r="Q31" s="21" t="s">
        <v>343</v>
      </c>
      <c r="R31" s="21" t="s">
        <v>343</v>
      </c>
      <c r="S31" s="21" t="s">
        <v>343</v>
      </c>
      <c r="T31" s="28"/>
      <c r="U31" s="13">
        <f>H31*((Q31="Oficial")*Resumen!$C$6+(R31="Oficial")*Resumen!$C$7+(S31="Oficial")*Resumen!$C$9)</f>
        <v>0</v>
      </c>
      <c r="V31" s="8" t="str">
        <f t="shared" si="3"/>
        <v>Con entregas verificadas</v>
      </c>
    </row>
    <row r="32" spans="1:22" ht="15" customHeight="1" x14ac:dyDescent="0.25">
      <c r="A32" s="8" t="s">
        <v>196</v>
      </c>
      <c r="B32" s="8" t="s">
        <v>197</v>
      </c>
      <c r="C32" s="8" t="s">
        <v>149</v>
      </c>
      <c r="D32" s="8" t="s">
        <v>161</v>
      </c>
      <c r="E32" s="8" t="s">
        <v>128</v>
      </c>
      <c r="F32" s="16">
        <v>74.099999999999994</v>
      </c>
      <c r="G32" s="16">
        <v>62.22</v>
      </c>
      <c r="H32" s="13">
        <f t="shared" si="0"/>
        <v>62.22</v>
      </c>
      <c r="I32" s="21">
        <v>1</v>
      </c>
      <c r="J32" s="21">
        <v>1</v>
      </c>
      <c r="K32" s="21">
        <v>1</v>
      </c>
      <c r="L32" s="8" t="s">
        <v>369</v>
      </c>
      <c r="M32" s="14">
        <f>IF(I32="",0,I32)*Resumen!$C$6+IF(J32="",0,J32)*Resumen!$C$7+IF(K32="",0,K32)*Resumen!$C$9</f>
        <v>1</v>
      </c>
      <c r="N32" s="14">
        <f>IF(I32="",1,I32)*Resumen!$C$6+IF(J32="",1,J32)*Resumen!$C$7+IF(K32="",1,K32)*Resumen!$C$9</f>
        <v>1</v>
      </c>
      <c r="O32" s="13">
        <f t="shared" si="1"/>
        <v>62.22</v>
      </c>
      <c r="P32" s="13">
        <f t="shared" si="2"/>
        <v>62.22</v>
      </c>
      <c r="Q32" s="21" t="s">
        <v>343</v>
      </c>
      <c r="R32" s="21" t="s">
        <v>345</v>
      </c>
      <c r="S32" s="21" t="s">
        <v>341</v>
      </c>
      <c r="T32" s="28"/>
      <c r="U32" s="13">
        <f>H32*((Q32="Oficial")*Resumen!$C$6+(R32="Oficial")*Resumen!$C$7+(S32="Oficial")*Resumen!$C$9)</f>
        <v>27.998999999999999</v>
      </c>
      <c r="V32" s="8" t="str">
        <f t="shared" si="3"/>
        <v>Con entregas verificadas</v>
      </c>
    </row>
    <row r="33" spans="1:22" ht="15" customHeight="1" x14ac:dyDescent="0.25">
      <c r="A33" s="8" t="s">
        <v>198</v>
      </c>
      <c r="B33" s="8" t="s">
        <v>199</v>
      </c>
      <c r="C33" s="8" t="s">
        <v>138</v>
      </c>
      <c r="D33" s="8" t="s">
        <v>161</v>
      </c>
      <c r="E33" s="8" t="s">
        <v>128</v>
      </c>
      <c r="F33" s="16">
        <v>44.2</v>
      </c>
      <c r="H33" s="13">
        <f t="shared" si="0"/>
        <v>44.2</v>
      </c>
      <c r="I33" s="21">
        <v>1</v>
      </c>
      <c r="J33" s="21">
        <v>1</v>
      </c>
      <c r="K33" s="21">
        <v>1</v>
      </c>
      <c r="L33" s="8" t="s">
        <v>369</v>
      </c>
      <c r="M33" s="14">
        <f>IF(I33="",0,I33)*Resumen!$C$6+IF(J33="",0,J33)*Resumen!$C$7+IF(K33="",0,K33)*Resumen!$C$9</f>
        <v>1</v>
      </c>
      <c r="N33" s="14">
        <f>IF(I33="",1,I33)*Resumen!$C$6+IF(J33="",1,J33)*Resumen!$C$7+IF(K33="",1,K33)*Resumen!$C$9</f>
        <v>1</v>
      </c>
      <c r="O33" s="13">
        <f t="shared" si="1"/>
        <v>44.2</v>
      </c>
      <c r="P33" s="13">
        <f t="shared" si="2"/>
        <v>44.2</v>
      </c>
      <c r="Q33" s="21" t="s">
        <v>345</v>
      </c>
      <c r="R33" s="21" t="s">
        <v>343</v>
      </c>
      <c r="S33" s="21" t="s">
        <v>341</v>
      </c>
      <c r="T33" s="28"/>
      <c r="U33" s="13">
        <f>H33*((Q33="Oficial")*Resumen!$C$6+(R33="Oficial")*Resumen!$C$7+(S33="Oficial")*Resumen!$C$9)</f>
        <v>19.89</v>
      </c>
      <c r="V33" s="8" t="str">
        <f t="shared" si="3"/>
        <v>Con entregas verificadas</v>
      </c>
    </row>
    <row r="34" spans="1:22" ht="15" customHeight="1" x14ac:dyDescent="0.25">
      <c r="A34" s="8" t="s">
        <v>200</v>
      </c>
      <c r="B34" s="8" t="s">
        <v>201</v>
      </c>
      <c r="C34" s="8" t="s">
        <v>149</v>
      </c>
      <c r="D34" s="8" t="s">
        <v>161</v>
      </c>
      <c r="E34" s="8" t="s">
        <v>128</v>
      </c>
      <c r="F34" s="16">
        <v>62.4</v>
      </c>
      <c r="H34" s="13">
        <f t="shared" si="0"/>
        <v>62.4</v>
      </c>
      <c r="I34" s="21">
        <v>1</v>
      </c>
      <c r="J34" s="21">
        <v>1</v>
      </c>
      <c r="K34" s="21">
        <v>1</v>
      </c>
      <c r="L34" s="8" t="s">
        <v>369</v>
      </c>
      <c r="M34" s="14">
        <f>IF(I34="",0,I34)*Resumen!$C$6+IF(J34="",0,J34)*Resumen!$C$7+IF(K34="",0,K34)*Resumen!$C$9</f>
        <v>1</v>
      </c>
      <c r="N34" s="14">
        <f>IF(I34="",1,I34)*Resumen!$C$6+IF(J34="",1,J34)*Resumen!$C$7+IF(K34="",1,K34)*Resumen!$C$9</f>
        <v>1</v>
      </c>
      <c r="O34" s="13">
        <f t="shared" si="1"/>
        <v>62.4</v>
      </c>
      <c r="P34" s="13">
        <f t="shared" si="2"/>
        <v>62.4</v>
      </c>
      <c r="Q34" s="21" t="s">
        <v>341</v>
      </c>
      <c r="R34" s="21" t="s">
        <v>341</v>
      </c>
      <c r="S34" s="21" t="s">
        <v>343</v>
      </c>
      <c r="T34" s="28"/>
      <c r="U34" s="13">
        <f>H34*((Q34="Oficial")*Resumen!$C$6+(R34="Oficial")*Resumen!$C$7+(S34="Oficial")*Resumen!$C$9)</f>
        <v>0</v>
      </c>
      <c r="V34" s="8" t="str">
        <f t="shared" si="3"/>
        <v>Con entregas verificadas</v>
      </c>
    </row>
    <row r="35" spans="1:22" ht="15" customHeight="1" x14ac:dyDescent="0.25">
      <c r="A35" s="8" t="s">
        <v>202</v>
      </c>
      <c r="B35" s="8" t="s">
        <v>203</v>
      </c>
      <c r="C35" s="8" t="s">
        <v>149</v>
      </c>
      <c r="D35" s="8" t="s">
        <v>161</v>
      </c>
      <c r="E35" s="8" t="s">
        <v>128</v>
      </c>
      <c r="F35" s="16">
        <v>52</v>
      </c>
      <c r="H35" s="13">
        <f t="shared" si="0"/>
        <v>52</v>
      </c>
      <c r="I35" s="21">
        <v>1</v>
      </c>
      <c r="J35" s="21">
        <v>1</v>
      </c>
      <c r="K35" s="21">
        <v>1</v>
      </c>
      <c r="L35" s="8" t="s">
        <v>369</v>
      </c>
      <c r="M35" s="14">
        <f>IF(I35="",0,I35)*Resumen!$C$6+IF(J35="",0,J35)*Resumen!$C$7+IF(K35="",0,K35)*Resumen!$C$9</f>
        <v>1</v>
      </c>
      <c r="N35" s="14">
        <f>IF(I35="",1,I35)*Resumen!$C$6+IF(J35="",1,J35)*Resumen!$C$7+IF(K35="",1,K35)*Resumen!$C$9</f>
        <v>1</v>
      </c>
      <c r="O35" s="13">
        <f t="shared" si="1"/>
        <v>52</v>
      </c>
      <c r="P35" s="13">
        <f t="shared" si="2"/>
        <v>52</v>
      </c>
      <c r="Q35" s="21" t="s">
        <v>345</v>
      </c>
      <c r="R35" s="21" t="s">
        <v>343</v>
      </c>
      <c r="S35" s="21" t="s">
        <v>341</v>
      </c>
      <c r="T35" s="28"/>
      <c r="U35" s="13">
        <f>H35*((Q35="Oficial")*Resumen!$C$6+(R35="Oficial")*Resumen!$C$7+(S35="Oficial")*Resumen!$C$9)</f>
        <v>23.400000000000002</v>
      </c>
      <c r="V35" s="8" t="str">
        <f t="shared" si="3"/>
        <v>Con entregas verificadas</v>
      </c>
    </row>
    <row r="36" spans="1:22" ht="15" customHeight="1" x14ac:dyDescent="0.25">
      <c r="A36" s="8" t="s">
        <v>204</v>
      </c>
      <c r="B36" s="8" t="s">
        <v>205</v>
      </c>
      <c r="C36" s="8" t="s">
        <v>177</v>
      </c>
      <c r="D36" s="8" t="s">
        <v>161</v>
      </c>
      <c r="E36" s="8" t="s">
        <v>128</v>
      </c>
      <c r="F36" s="16">
        <v>35.1</v>
      </c>
      <c r="H36" s="13">
        <f t="shared" si="0"/>
        <v>35.1</v>
      </c>
      <c r="I36" s="21">
        <v>1</v>
      </c>
      <c r="J36" s="21">
        <v>1</v>
      </c>
      <c r="K36" s="21">
        <v>1</v>
      </c>
      <c r="L36" s="8" t="s">
        <v>369</v>
      </c>
      <c r="M36" s="14">
        <f>IF(I36="",0,I36)*Resumen!$C$6+IF(J36="",0,J36)*Resumen!$C$7+IF(K36="",0,K36)*Resumen!$C$9</f>
        <v>1</v>
      </c>
      <c r="N36" s="14">
        <f>IF(I36="",1,I36)*Resumen!$C$6+IF(J36="",1,J36)*Resumen!$C$7+IF(K36="",1,K36)*Resumen!$C$9</f>
        <v>1</v>
      </c>
      <c r="O36" s="13">
        <f t="shared" si="1"/>
        <v>35.1</v>
      </c>
      <c r="P36" s="13">
        <f t="shared" si="2"/>
        <v>35.1</v>
      </c>
      <c r="Q36" s="21" t="s">
        <v>343</v>
      </c>
      <c r="R36" s="21" t="s">
        <v>343</v>
      </c>
      <c r="S36" s="21" t="s">
        <v>343</v>
      </c>
      <c r="T36" s="28"/>
      <c r="U36" s="13">
        <f>H36*((Q36="Oficial")*Resumen!$C$6+(R36="Oficial")*Resumen!$C$7+(S36="Oficial")*Resumen!$C$9)</f>
        <v>0</v>
      </c>
      <c r="V36" s="8" t="str">
        <f t="shared" si="3"/>
        <v>Con entregas verificadas</v>
      </c>
    </row>
    <row r="37" spans="1:22" ht="15" customHeight="1" x14ac:dyDescent="0.25">
      <c r="A37" s="8" t="s">
        <v>210</v>
      </c>
      <c r="B37" s="8" t="s">
        <v>211</v>
      </c>
      <c r="C37" s="8" t="s">
        <v>149</v>
      </c>
      <c r="D37" s="8" t="s">
        <v>161</v>
      </c>
      <c r="E37" s="8" t="s">
        <v>128</v>
      </c>
      <c r="F37" s="16">
        <v>35.1</v>
      </c>
      <c r="G37" s="16">
        <v>11.21</v>
      </c>
      <c r="H37" s="13">
        <f t="shared" ref="H37:H68" si="4">IF(G37="",F37,G37)</f>
        <v>11.21</v>
      </c>
      <c r="I37" s="21">
        <v>1</v>
      </c>
      <c r="J37" s="21">
        <v>1</v>
      </c>
      <c r="K37" s="21">
        <v>1</v>
      </c>
      <c r="L37" s="8" t="s">
        <v>369</v>
      </c>
      <c r="M37" s="14">
        <f>IF(I37="",0,I37)*Resumen!$C$6+IF(J37="",0,J37)*Resumen!$C$7+IF(K37="",0,K37)*Resumen!$C$9</f>
        <v>1</v>
      </c>
      <c r="N37" s="14">
        <f>IF(I37="",1,I37)*Resumen!$C$6+IF(J37="",1,J37)*Resumen!$C$7+IF(K37="",1,K37)*Resumen!$C$9</f>
        <v>1</v>
      </c>
      <c r="O37" s="13">
        <f t="shared" ref="O37:O53" si="5">H37*M37</f>
        <v>11.21</v>
      </c>
      <c r="P37" s="13">
        <f t="shared" ref="P37:P53" si="6">H37*N37</f>
        <v>11.21</v>
      </c>
      <c r="Q37" s="21" t="s">
        <v>341</v>
      </c>
      <c r="R37" s="21" t="s">
        <v>345</v>
      </c>
      <c r="S37" s="21" t="s">
        <v>343</v>
      </c>
      <c r="T37" s="28"/>
      <c r="U37" s="13">
        <f>H37*((Q37="Oficial")*Resumen!$C$6+(R37="Oficial")*Resumen!$C$7+(S37="Oficial")*Resumen!$C$9)</f>
        <v>5.0445000000000002</v>
      </c>
      <c r="V37" s="8" t="str">
        <f t="shared" ref="V37:V53" si="7">IF(COUNTIF(I37:K37,1)&gt;0,"Con entregas verificadas",IF(COUNTBLANK(I37:K37)&gt;0,"Sin evidencia municipal","Sin entregas"))</f>
        <v>Con entregas verificadas</v>
      </c>
    </row>
    <row r="38" spans="1:22" ht="15" customHeight="1" x14ac:dyDescent="0.25">
      <c r="A38" s="8" t="s">
        <v>212</v>
      </c>
      <c r="B38" s="8" t="s">
        <v>213</v>
      </c>
      <c r="C38" s="8" t="s">
        <v>149</v>
      </c>
      <c r="D38" s="8" t="s">
        <v>161</v>
      </c>
      <c r="E38" s="8" t="s">
        <v>128</v>
      </c>
      <c r="F38" s="16">
        <v>57.2</v>
      </c>
      <c r="H38" s="13">
        <f t="shared" si="4"/>
        <v>57.2</v>
      </c>
      <c r="I38" s="21">
        <v>1</v>
      </c>
      <c r="J38" s="21">
        <v>1</v>
      </c>
      <c r="K38" s="21">
        <v>1</v>
      </c>
      <c r="L38" s="8" t="s">
        <v>369</v>
      </c>
      <c r="M38" s="14">
        <f>IF(I38="",0,I38)*Resumen!$C$6+IF(J38="",0,J38)*Resumen!$C$7+IF(K38="",0,K38)*Resumen!$C$9</f>
        <v>1</v>
      </c>
      <c r="N38" s="14">
        <f>IF(I38="",1,I38)*Resumen!$C$6+IF(J38="",1,J38)*Resumen!$C$7+IF(K38="",1,K38)*Resumen!$C$9</f>
        <v>1</v>
      </c>
      <c r="O38" s="13">
        <f t="shared" si="5"/>
        <v>57.2</v>
      </c>
      <c r="P38" s="13">
        <f t="shared" si="6"/>
        <v>57.2</v>
      </c>
      <c r="Q38" s="21" t="s">
        <v>341</v>
      </c>
      <c r="R38" s="21" t="s">
        <v>345</v>
      </c>
      <c r="S38" s="21" t="s">
        <v>343</v>
      </c>
      <c r="T38" s="28"/>
      <c r="U38" s="13">
        <f>H38*((Q38="Oficial")*Resumen!$C$6+(R38="Oficial")*Resumen!$C$7+(S38="Oficial")*Resumen!$C$9)</f>
        <v>25.740000000000002</v>
      </c>
      <c r="V38" s="8" t="str">
        <f t="shared" si="7"/>
        <v>Con entregas verificadas</v>
      </c>
    </row>
    <row r="39" spans="1:22" ht="15" customHeight="1" x14ac:dyDescent="0.25">
      <c r="A39" s="8" t="s">
        <v>214</v>
      </c>
      <c r="B39" s="8" t="s">
        <v>215</v>
      </c>
      <c r="C39" s="8" t="s">
        <v>177</v>
      </c>
      <c r="D39" s="8" t="s">
        <v>161</v>
      </c>
      <c r="E39" s="8" t="s">
        <v>128</v>
      </c>
      <c r="F39" s="16">
        <v>462.8</v>
      </c>
      <c r="G39" s="16">
        <v>601.64</v>
      </c>
      <c r="H39" s="13">
        <f t="shared" si="4"/>
        <v>601.64</v>
      </c>
      <c r="I39" s="21">
        <v>1</v>
      </c>
      <c r="J39" s="21">
        <v>1</v>
      </c>
      <c r="K39" s="21">
        <v>1</v>
      </c>
      <c r="L39" s="8" t="s">
        <v>369</v>
      </c>
      <c r="M39" s="14">
        <f>IF(I39="",0,I39)*Resumen!$C$6+IF(J39="",0,J39)*Resumen!$C$7+IF(K39="",0,K39)*Resumen!$C$9</f>
        <v>1</v>
      </c>
      <c r="N39" s="14">
        <f>IF(I39="",1,I39)*Resumen!$C$6+IF(J39="",1,J39)*Resumen!$C$7+IF(K39="",1,K39)*Resumen!$C$9</f>
        <v>1</v>
      </c>
      <c r="O39" s="13">
        <f t="shared" si="5"/>
        <v>601.64</v>
      </c>
      <c r="P39" s="13">
        <f t="shared" si="6"/>
        <v>601.64</v>
      </c>
      <c r="Q39" s="21" t="s">
        <v>345</v>
      </c>
      <c r="R39" s="21" t="s">
        <v>345</v>
      </c>
      <c r="S39" s="21" t="s">
        <v>345</v>
      </c>
      <c r="T39" s="28"/>
      <c r="U39" s="13">
        <f>H39*((Q39="Oficial")*Resumen!$C$6+(R39="Oficial")*Resumen!$C$7+(S39="Oficial")*Resumen!$C$9)</f>
        <v>601.64</v>
      </c>
      <c r="V39" s="8" t="str">
        <f t="shared" si="7"/>
        <v>Con entregas verificadas</v>
      </c>
    </row>
    <row r="40" spans="1:22" ht="15" customHeight="1" x14ac:dyDescent="0.25">
      <c r="A40" s="8" t="s">
        <v>216</v>
      </c>
      <c r="B40" s="8" t="s">
        <v>217</v>
      </c>
      <c r="C40" s="8" t="s">
        <v>177</v>
      </c>
      <c r="D40" s="8" t="s">
        <v>161</v>
      </c>
      <c r="E40" s="8" t="s">
        <v>128</v>
      </c>
      <c r="F40" s="16">
        <v>227.5</v>
      </c>
      <c r="G40" s="16">
        <v>67.64</v>
      </c>
      <c r="H40" s="13">
        <f t="shared" si="4"/>
        <v>67.64</v>
      </c>
      <c r="I40" s="21">
        <v>1</v>
      </c>
      <c r="J40" s="21">
        <v>1</v>
      </c>
      <c r="K40" s="21">
        <v>1</v>
      </c>
      <c r="L40" s="8" t="s">
        <v>369</v>
      </c>
      <c r="M40" s="14">
        <f>IF(I40="",0,I40)*Resumen!$C$6+IF(J40="",0,J40)*Resumen!$C$7+IF(K40="",0,K40)*Resumen!$C$9</f>
        <v>1</v>
      </c>
      <c r="N40" s="14">
        <f>IF(I40="",1,I40)*Resumen!$C$6+IF(J40="",1,J40)*Resumen!$C$7+IF(K40="",1,K40)*Resumen!$C$9</f>
        <v>1</v>
      </c>
      <c r="O40" s="13">
        <f t="shared" si="5"/>
        <v>67.64</v>
      </c>
      <c r="P40" s="13">
        <f t="shared" si="6"/>
        <v>67.64</v>
      </c>
      <c r="Q40" s="21" t="s">
        <v>345</v>
      </c>
      <c r="R40" s="21" t="s">
        <v>345</v>
      </c>
      <c r="S40" s="21" t="s">
        <v>345</v>
      </c>
      <c r="T40" s="28"/>
      <c r="U40" s="13">
        <f>H40*((Q40="Oficial")*Resumen!$C$6+(R40="Oficial")*Resumen!$C$7+(S40="Oficial")*Resumen!$C$9)</f>
        <v>67.64</v>
      </c>
      <c r="V40" s="8" t="str">
        <f t="shared" si="7"/>
        <v>Con entregas verificadas</v>
      </c>
    </row>
    <row r="41" spans="1:22" ht="15" customHeight="1" x14ac:dyDescent="0.25">
      <c r="A41" s="8" t="s">
        <v>218</v>
      </c>
      <c r="B41" s="8" t="s">
        <v>219</v>
      </c>
      <c r="C41" s="8" t="s">
        <v>177</v>
      </c>
      <c r="D41" s="8" t="s">
        <v>161</v>
      </c>
      <c r="E41" s="8" t="s">
        <v>128</v>
      </c>
      <c r="F41" s="16">
        <v>248.3</v>
      </c>
      <c r="G41" s="16">
        <v>109.35</v>
      </c>
      <c r="H41" s="13">
        <f t="shared" si="4"/>
        <v>109.35</v>
      </c>
      <c r="I41" s="21">
        <v>1</v>
      </c>
      <c r="J41" s="21">
        <v>1</v>
      </c>
      <c r="K41" s="21">
        <v>1</v>
      </c>
      <c r="L41" s="8" t="s">
        <v>369</v>
      </c>
      <c r="M41" s="14">
        <f>IF(I41="",0,I41)*Resumen!$C$6+IF(J41="",0,J41)*Resumen!$C$7+IF(K41="",0,K41)*Resumen!$C$9</f>
        <v>1</v>
      </c>
      <c r="N41" s="14">
        <f>IF(I41="",1,I41)*Resumen!$C$6+IF(J41="",1,J41)*Resumen!$C$7+IF(K41="",1,K41)*Resumen!$C$9</f>
        <v>1</v>
      </c>
      <c r="O41" s="13">
        <f t="shared" si="5"/>
        <v>109.35</v>
      </c>
      <c r="P41" s="13">
        <f t="shared" si="6"/>
        <v>109.35</v>
      </c>
      <c r="Q41" s="21" t="s">
        <v>345</v>
      </c>
      <c r="R41" s="21" t="s">
        <v>345</v>
      </c>
      <c r="S41" s="21" t="s">
        <v>345</v>
      </c>
      <c r="T41" s="28"/>
      <c r="U41" s="13">
        <f>H41*((Q41="Oficial")*Resumen!$C$6+(R41="Oficial")*Resumen!$C$7+(S41="Oficial")*Resumen!$C$9)</f>
        <v>109.35</v>
      </c>
      <c r="V41" s="8" t="str">
        <f t="shared" si="7"/>
        <v>Con entregas verificadas</v>
      </c>
    </row>
    <row r="42" spans="1:22" ht="15" customHeight="1" x14ac:dyDescent="0.25">
      <c r="A42" s="8" t="s">
        <v>220</v>
      </c>
      <c r="B42" s="8" t="s">
        <v>221</v>
      </c>
      <c r="C42" s="8" t="s">
        <v>157</v>
      </c>
      <c r="D42" s="8" t="s">
        <v>161</v>
      </c>
      <c r="E42" s="8" t="s">
        <v>128</v>
      </c>
      <c r="F42" s="16">
        <v>379.6</v>
      </c>
      <c r="G42" s="16">
        <v>325.63</v>
      </c>
      <c r="H42" s="13">
        <f t="shared" si="4"/>
        <v>325.63</v>
      </c>
      <c r="I42" s="21">
        <v>1</v>
      </c>
      <c r="J42" s="21">
        <v>1</v>
      </c>
      <c r="K42" s="21">
        <v>1</v>
      </c>
      <c r="L42" s="8" t="s">
        <v>369</v>
      </c>
      <c r="M42" s="14">
        <f>IF(I42="",0,I42)*Resumen!$C$6+IF(J42="",0,J42)*Resumen!$C$7+IF(K42="",0,K42)*Resumen!$C$9</f>
        <v>1</v>
      </c>
      <c r="N42" s="14">
        <f>IF(I42="",1,I42)*Resumen!$C$6+IF(J42="",1,J42)*Resumen!$C$7+IF(K42="",1,K42)*Resumen!$C$9</f>
        <v>1</v>
      </c>
      <c r="O42" s="13">
        <f t="shared" si="5"/>
        <v>325.63</v>
      </c>
      <c r="P42" s="13">
        <f t="shared" si="6"/>
        <v>325.63</v>
      </c>
      <c r="Q42" s="21" t="s">
        <v>345</v>
      </c>
      <c r="R42" s="21" t="s">
        <v>345</v>
      </c>
      <c r="S42" s="21" t="s">
        <v>345</v>
      </c>
      <c r="T42" s="28"/>
      <c r="U42" s="13">
        <f>H42*((Q42="Oficial")*Resumen!$C$6+(R42="Oficial")*Resumen!$C$7+(S42="Oficial")*Resumen!$C$9)</f>
        <v>325.63</v>
      </c>
      <c r="V42" s="8" t="str">
        <f t="shared" si="7"/>
        <v>Con entregas verificadas</v>
      </c>
    </row>
    <row r="43" spans="1:22" ht="15" customHeight="1" x14ac:dyDescent="0.25">
      <c r="A43" s="8" t="s">
        <v>222</v>
      </c>
      <c r="B43" s="8" t="s">
        <v>223</v>
      </c>
      <c r="C43" s="8" t="s">
        <v>138</v>
      </c>
      <c r="D43" s="8" t="s">
        <v>161</v>
      </c>
      <c r="E43" s="8" t="s">
        <v>128</v>
      </c>
      <c r="F43" s="16">
        <v>50.7</v>
      </c>
      <c r="H43" s="13">
        <f t="shared" si="4"/>
        <v>50.7</v>
      </c>
      <c r="I43" s="21">
        <v>1</v>
      </c>
      <c r="J43" s="21">
        <v>1</v>
      </c>
      <c r="K43" s="21">
        <v>1</v>
      </c>
      <c r="L43" s="8" t="s">
        <v>369</v>
      </c>
      <c r="M43" s="14">
        <f>IF(I43="",0,I43)*Resumen!$C$6+IF(J43="",0,J43)*Resumen!$C$7+IF(K43="",0,K43)*Resumen!$C$9</f>
        <v>1</v>
      </c>
      <c r="N43" s="14">
        <f>IF(I43="",1,I43)*Resumen!$C$6+IF(J43="",1,J43)*Resumen!$C$7+IF(K43="",1,K43)*Resumen!$C$9</f>
        <v>1</v>
      </c>
      <c r="O43" s="13">
        <f t="shared" si="5"/>
        <v>50.7</v>
      </c>
      <c r="P43" s="13">
        <f t="shared" si="6"/>
        <v>50.7</v>
      </c>
      <c r="Q43" s="21" t="s">
        <v>343</v>
      </c>
      <c r="R43" s="21" t="s">
        <v>343</v>
      </c>
      <c r="S43" s="21" t="s">
        <v>345</v>
      </c>
      <c r="T43" s="28"/>
      <c r="U43" s="13">
        <f>H43*((Q43="Oficial")*Resumen!$C$6+(R43="Oficial")*Resumen!$C$7+(S43="Oficial")*Resumen!$C$9)</f>
        <v>5.07</v>
      </c>
      <c r="V43" s="8" t="str">
        <f t="shared" si="7"/>
        <v>Con entregas verificadas</v>
      </c>
    </row>
    <row r="44" spans="1:22" ht="15" customHeight="1" x14ac:dyDescent="0.25">
      <c r="A44" s="8" t="s">
        <v>226</v>
      </c>
      <c r="B44" s="8" t="s">
        <v>227</v>
      </c>
      <c r="C44" s="8" t="s">
        <v>185</v>
      </c>
      <c r="D44" s="8" t="s">
        <v>161</v>
      </c>
      <c r="E44" s="8" t="s">
        <v>128</v>
      </c>
      <c r="F44" s="16">
        <v>65</v>
      </c>
      <c r="G44" s="16">
        <v>147.38</v>
      </c>
      <c r="H44" s="13">
        <f t="shared" si="4"/>
        <v>147.38</v>
      </c>
      <c r="I44" s="21">
        <v>1</v>
      </c>
      <c r="J44" s="21">
        <v>1</v>
      </c>
      <c r="K44" s="21">
        <v>1</v>
      </c>
      <c r="L44" s="8" t="s">
        <v>369</v>
      </c>
      <c r="M44" s="14">
        <f>IF(I44="",0,I44)*Resumen!$C$6+IF(J44="",0,J44)*Resumen!$C$7+IF(K44="",0,K44)*Resumen!$C$9</f>
        <v>1</v>
      </c>
      <c r="N44" s="14">
        <f>IF(I44="",1,I44)*Resumen!$C$6+IF(J44="",1,J44)*Resumen!$C$7+IF(K44="",1,K44)*Resumen!$C$9</f>
        <v>1</v>
      </c>
      <c r="O44" s="13">
        <f t="shared" si="5"/>
        <v>147.38</v>
      </c>
      <c r="P44" s="13">
        <f t="shared" si="6"/>
        <v>147.38</v>
      </c>
      <c r="Q44" s="21" t="s">
        <v>341</v>
      </c>
      <c r="R44" s="21" t="s">
        <v>341</v>
      </c>
      <c r="S44" s="21" t="s">
        <v>343</v>
      </c>
      <c r="T44" s="28"/>
      <c r="U44" s="13">
        <f>H44*((Q44="Oficial")*Resumen!$C$6+(R44="Oficial")*Resumen!$C$7+(S44="Oficial")*Resumen!$C$9)</f>
        <v>0</v>
      </c>
      <c r="V44" s="8" t="str">
        <f t="shared" si="7"/>
        <v>Con entregas verificadas</v>
      </c>
    </row>
    <row r="45" spans="1:22" ht="15" customHeight="1" x14ac:dyDescent="0.25">
      <c r="A45" s="8" t="s">
        <v>230</v>
      </c>
      <c r="B45" s="8" t="s">
        <v>231</v>
      </c>
      <c r="C45" s="8" t="s">
        <v>138</v>
      </c>
      <c r="D45" s="8" t="s">
        <v>161</v>
      </c>
      <c r="E45" s="8" t="s">
        <v>128</v>
      </c>
      <c r="F45" s="16">
        <v>240.5</v>
      </c>
      <c r="G45" s="16">
        <v>235.7</v>
      </c>
      <c r="H45" s="13">
        <f t="shared" si="4"/>
        <v>235.7</v>
      </c>
      <c r="I45" s="21">
        <v>1</v>
      </c>
      <c r="J45" s="21">
        <v>1</v>
      </c>
      <c r="K45" s="21">
        <v>1</v>
      </c>
      <c r="L45" s="8" t="s">
        <v>369</v>
      </c>
      <c r="M45" s="14">
        <f>IF(I45="",0,I45)*Resumen!$C$6+IF(J45="",0,J45)*Resumen!$C$7+IF(K45="",0,K45)*Resumen!$C$9</f>
        <v>1</v>
      </c>
      <c r="N45" s="14">
        <f>IF(I45="",1,I45)*Resumen!$C$6+IF(J45="",1,J45)*Resumen!$C$7+IF(K45="",1,K45)*Resumen!$C$9</f>
        <v>1</v>
      </c>
      <c r="O45" s="13">
        <f t="shared" si="5"/>
        <v>235.7</v>
      </c>
      <c r="P45" s="13">
        <f t="shared" si="6"/>
        <v>235.7</v>
      </c>
      <c r="Q45" s="21" t="s">
        <v>345</v>
      </c>
      <c r="R45" s="21" t="s">
        <v>341</v>
      </c>
      <c r="S45" s="21" t="s">
        <v>341</v>
      </c>
      <c r="T45" s="28"/>
      <c r="U45" s="13">
        <f>H45*((Q45="Oficial")*Resumen!$C$6+(R45="Oficial")*Resumen!$C$7+(S45="Oficial")*Resumen!$C$9)</f>
        <v>106.065</v>
      </c>
      <c r="V45" s="8" t="str">
        <f t="shared" si="7"/>
        <v>Con entregas verificadas</v>
      </c>
    </row>
    <row r="46" spans="1:22" ht="15" customHeight="1" x14ac:dyDescent="0.25">
      <c r="A46" s="8" t="s">
        <v>232</v>
      </c>
      <c r="B46" s="8" t="s">
        <v>233</v>
      </c>
      <c r="C46" s="8" t="s">
        <v>157</v>
      </c>
      <c r="D46" s="8" t="s">
        <v>161</v>
      </c>
      <c r="E46" s="8" t="s">
        <v>128</v>
      </c>
      <c r="F46" s="16">
        <v>128.69999999999999</v>
      </c>
      <c r="G46" s="16">
        <v>83.18</v>
      </c>
      <c r="H46" s="13">
        <f t="shared" si="4"/>
        <v>83.18</v>
      </c>
      <c r="I46" s="21">
        <v>1</v>
      </c>
      <c r="J46" s="21">
        <v>1</v>
      </c>
      <c r="K46" s="21">
        <v>1</v>
      </c>
      <c r="L46" s="8" t="s">
        <v>369</v>
      </c>
      <c r="M46" s="14">
        <f>IF(I46="",0,I46)*Resumen!$C$6+IF(J46="",0,J46)*Resumen!$C$7+IF(K46="",0,K46)*Resumen!$C$9</f>
        <v>1</v>
      </c>
      <c r="N46" s="14">
        <f>IF(I46="",1,I46)*Resumen!$C$6+IF(J46="",1,J46)*Resumen!$C$7+IF(K46="",1,K46)*Resumen!$C$9</f>
        <v>1</v>
      </c>
      <c r="O46" s="13">
        <f t="shared" si="5"/>
        <v>83.18</v>
      </c>
      <c r="P46" s="13">
        <f t="shared" si="6"/>
        <v>83.18</v>
      </c>
      <c r="Q46" s="21" t="s">
        <v>345</v>
      </c>
      <c r="R46" s="21" t="s">
        <v>341</v>
      </c>
      <c r="S46" s="21" t="s">
        <v>341</v>
      </c>
      <c r="T46" s="28"/>
      <c r="U46" s="13">
        <f>H46*((Q46="Oficial")*Resumen!$C$6+(R46="Oficial")*Resumen!$C$7+(S46="Oficial")*Resumen!$C$9)</f>
        <v>37.431000000000004</v>
      </c>
      <c r="V46" s="8" t="str">
        <f t="shared" si="7"/>
        <v>Con entregas verificadas</v>
      </c>
    </row>
    <row r="47" spans="1:22" ht="15" customHeight="1" x14ac:dyDescent="0.25">
      <c r="A47" s="8" t="s">
        <v>234</v>
      </c>
      <c r="B47" s="8" t="s">
        <v>235</v>
      </c>
      <c r="C47" s="8" t="s">
        <v>138</v>
      </c>
      <c r="D47" s="8" t="s">
        <v>161</v>
      </c>
      <c r="E47" s="8" t="s">
        <v>128</v>
      </c>
      <c r="F47" s="16">
        <v>704.6</v>
      </c>
      <c r="G47" s="16">
        <v>584.66</v>
      </c>
      <c r="H47" s="13">
        <f t="shared" si="4"/>
        <v>584.66</v>
      </c>
      <c r="I47" s="21">
        <v>1</v>
      </c>
      <c r="J47" s="21">
        <v>1</v>
      </c>
      <c r="K47" s="21">
        <v>1</v>
      </c>
      <c r="L47" s="8" t="s">
        <v>369</v>
      </c>
      <c r="M47" s="14">
        <f>IF(I47="",0,I47)*Resumen!$C$6+IF(J47="",0,J47)*Resumen!$C$7+IF(K47="",0,K47)*Resumen!$C$9</f>
        <v>1</v>
      </c>
      <c r="N47" s="14">
        <f>IF(I47="",1,I47)*Resumen!$C$6+IF(J47="",1,J47)*Resumen!$C$7+IF(K47="",1,K47)*Resumen!$C$9</f>
        <v>1</v>
      </c>
      <c r="O47" s="13">
        <f t="shared" si="5"/>
        <v>584.66</v>
      </c>
      <c r="P47" s="13">
        <f t="shared" si="6"/>
        <v>584.66</v>
      </c>
      <c r="Q47" s="21" t="s">
        <v>345</v>
      </c>
      <c r="R47" s="21" t="s">
        <v>345</v>
      </c>
      <c r="S47" s="21" t="s">
        <v>341</v>
      </c>
      <c r="T47" s="28"/>
      <c r="U47" s="13">
        <f>H47*((Q47="Oficial")*Resumen!$C$6+(R47="Oficial")*Resumen!$C$7+(S47="Oficial")*Resumen!$C$9)</f>
        <v>526.19399999999996</v>
      </c>
      <c r="V47" s="8" t="str">
        <f t="shared" si="7"/>
        <v>Con entregas verificadas</v>
      </c>
    </row>
    <row r="48" spans="1:22" ht="15" customHeight="1" x14ac:dyDescent="0.25">
      <c r="A48" s="8" t="s">
        <v>236</v>
      </c>
      <c r="B48" s="8" t="s">
        <v>237</v>
      </c>
      <c r="C48" s="8" t="s">
        <v>157</v>
      </c>
      <c r="D48" s="8" t="s">
        <v>161</v>
      </c>
      <c r="E48" s="8" t="s">
        <v>128</v>
      </c>
      <c r="F48" s="16">
        <v>98.8</v>
      </c>
      <c r="H48" s="13">
        <f t="shared" si="4"/>
        <v>98.8</v>
      </c>
      <c r="I48" s="21">
        <v>1</v>
      </c>
      <c r="J48" s="21">
        <v>1</v>
      </c>
      <c r="K48" s="21">
        <v>1</v>
      </c>
      <c r="L48" s="8" t="s">
        <v>369</v>
      </c>
      <c r="M48" s="14">
        <f>IF(I48="",0,I48)*Resumen!$C$6+IF(J48="",0,J48)*Resumen!$C$7+IF(K48="",0,K48)*Resumen!$C$9</f>
        <v>1</v>
      </c>
      <c r="N48" s="14">
        <f>IF(I48="",1,I48)*Resumen!$C$6+IF(J48="",1,J48)*Resumen!$C$7+IF(K48="",1,K48)*Resumen!$C$9</f>
        <v>1</v>
      </c>
      <c r="O48" s="13">
        <f t="shared" si="5"/>
        <v>98.8</v>
      </c>
      <c r="P48" s="13">
        <f t="shared" si="6"/>
        <v>98.8</v>
      </c>
      <c r="Q48" s="21" t="s">
        <v>345</v>
      </c>
      <c r="R48" s="21" t="s">
        <v>345</v>
      </c>
      <c r="S48" s="21" t="s">
        <v>341</v>
      </c>
      <c r="T48" s="28"/>
      <c r="U48" s="13">
        <f>H48*((Q48="Oficial")*Resumen!$C$6+(R48="Oficial")*Resumen!$C$7+(S48="Oficial")*Resumen!$C$9)</f>
        <v>88.92</v>
      </c>
      <c r="V48" s="8" t="str">
        <f t="shared" si="7"/>
        <v>Con entregas verificadas</v>
      </c>
    </row>
    <row r="49" spans="1:22" ht="15" customHeight="1" x14ac:dyDescent="0.25">
      <c r="A49" s="8" t="s">
        <v>240</v>
      </c>
      <c r="B49" s="8" t="s">
        <v>241</v>
      </c>
      <c r="C49" s="8" t="s">
        <v>138</v>
      </c>
      <c r="D49" s="8" t="s">
        <v>161</v>
      </c>
      <c r="E49" s="8" t="s">
        <v>128</v>
      </c>
      <c r="F49" s="16">
        <v>31.2</v>
      </c>
      <c r="H49" s="13">
        <f t="shared" si="4"/>
        <v>31.2</v>
      </c>
      <c r="I49" s="21">
        <v>1</v>
      </c>
      <c r="J49" s="21">
        <v>1</v>
      </c>
      <c r="K49" s="21">
        <v>1</v>
      </c>
      <c r="L49" s="8" t="s">
        <v>369</v>
      </c>
      <c r="M49" s="14">
        <f>IF(I49="",0,I49)*Resumen!$C$6+IF(J49="",0,J49)*Resumen!$C$7+IF(K49="",0,K49)*Resumen!$C$9</f>
        <v>1</v>
      </c>
      <c r="N49" s="14">
        <f>IF(I49="",1,I49)*Resumen!$C$6+IF(J49="",1,J49)*Resumen!$C$7+IF(K49="",1,K49)*Resumen!$C$9</f>
        <v>1</v>
      </c>
      <c r="O49" s="13">
        <f t="shared" si="5"/>
        <v>31.2</v>
      </c>
      <c r="P49" s="13">
        <f t="shared" si="6"/>
        <v>31.2</v>
      </c>
      <c r="Q49" s="21" t="s">
        <v>343</v>
      </c>
      <c r="R49" s="21" t="s">
        <v>341</v>
      </c>
      <c r="S49" s="21" t="s">
        <v>345</v>
      </c>
      <c r="T49" s="28"/>
      <c r="U49" s="13">
        <f>H49*((Q49="Oficial")*Resumen!$C$6+(R49="Oficial")*Resumen!$C$7+(S49="Oficial")*Resumen!$C$9)</f>
        <v>3.12</v>
      </c>
      <c r="V49" s="8" t="str">
        <f t="shared" si="7"/>
        <v>Con entregas verificadas</v>
      </c>
    </row>
    <row r="50" spans="1:22" ht="15" customHeight="1" x14ac:dyDescent="0.25">
      <c r="A50" s="8" t="s">
        <v>244</v>
      </c>
      <c r="B50" s="8" t="s">
        <v>245</v>
      </c>
      <c r="C50" s="8" t="s">
        <v>149</v>
      </c>
      <c r="D50" s="8" t="s">
        <v>161</v>
      </c>
      <c r="E50" s="8" t="s">
        <v>128</v>
      </c>
      <c r="F50" s="16">
        <v>33.799999999999997</v>
      </c>
      <c r="H50" s="13">
        <f t="shared" si="4"/>
        <v>33.799999999999997</v>
      </c>
      <c r="I50" s="21">
        <v>1</v>
      </c>
      <c r="J50" s="21">
        <v>1</v>
      </c>
      <c r="K50" s="21">
        <v>1</v>
      </c>
      <c r="L50" s="8" t="s">
        <v>369</v>
      </c>
      <c r="M50" s="14">
        <f>IF(I50="",0,I50)*Resumen!$C$6+IF(J50="",0,J50)*Resumen!$C$7+IF(K50="",0,K50)*Resumen!$C$9</f>
        <v>1</v>
      </c>
      <c r="N50" s="14">
        <f>IF(I50="",1,I50)*Resumen!$C$6+IF(J50="",1,J50)*Resumen!$C$7+IF(K50="",1,K50)*Resumen!$C$9</f>
        <v>1</v>
      </c>
      <c r="O50" s="13">
        <f t="shared" si="5"/>
        <v>33.799999999999997</v>
      </c>
      <c r="P50" s="13">
        <f t="shared" si="6"/>
        <v>33.799999999999997</v>
      </c>
      <c r="Q50" s="27"/>
      <c r="R50" s="27"/>
      <c r="S50" s="21" t="s">
        <v>343</v>
      </c>
      <c r="T50" s="28"/>
      <c r="U50" s="13">
        <f>H50*((Q50="Oficial")*Resumen!$C$6+(R50="Oficial")*Resumen!$C$7+(S50="Oficial")*Resumen!$C$9)</f>
        <v>0</v>
      </c>
      <c r="V50" s="8" t="str">
        <f t="shared" si="7"/>
        <v>Con entregas verificadas</v>
      </c>
    </row>
    <row r="51" spans="1:22" ht="15" customHeight="1" x14ac:dyDescent="0.25">
      <c r="A51" s="8" t="s">
        <v>248</v>
      </c>
      <c r="B51" s="8" t="s">
        <v>249</v>
      </c>
      <c r="C51" s="8" t="s">
        <v>138</v>
      </c>
      <c r="D51" s="8" t="s">
        <v>161</v>
      </c>
      <c r="E51" s="8" t="s">
        <v>128</v>
      </c>
      <c r="F51" s="16">
        <v>345.8</v>
      </c>
      <c r="G51" s="16">
        <v>280.66000000000003</v>
      </c>
      <c r="H51" s="13">
        <f t="shared" si="4"/>
        <v>280.66000000000003</v>
      </c>
      <c r="I51" s="21">
        <v>1</v>
      </c>
      <c r="J51" s="21">
        <v>1</v>
      </c>
      <c r="K51" s="21">
        <v>1</v>
      </c>
      <c r="L51" s="8" t="s">
        <v>369</v>
      </c>
      <c r="M51" s="14">
        <f>IF(I51="",0,I51)*Resumen!$C$6+IF(J51="",0,J51)*Resumen!$C$7+IF(K51="",0,K51)*Resumen!$C$9</f>
        <v>1</v>
      </c>
      <c r="N51" s="14">
        <f>IF(I51="",1,I51)*Resumen!$C$6+IF(J51="",1,J51)*Resumen!$C$7+IF(K51="",1,K51)*Resumen!$C$9</f>
        <v>1</v>
      </c>
      <c r="O51" s="13">
        <f t="shared" si="5"/>
        <v>280.66000000000003</v>
      </c>
      <c r="P51" s="13">
        <f t="shared" si="6"/>
        <v>280.66000000000003</v>
      </c>
      <c r="Q51" s="21" t="s">
        <v>345</v>
      </c>
      <c r="R51" s="21" t="s">
        <v>345</v>
      </c>
      <c r="S51" s="21" t="s">
        <v>341</v>
      </c>
      <c r="T51" s="28"/>
      <c r="U51" s="13">
        <f>H51*((Q51="Oficial")*Resumen!$C$6+(R51="Oficial")*Resumen!$C$7+(S51="Oficial")*Resumen!$C$9)</f>
        <v>252.59400000000002</v>
      </c>
      <c r="V51" s="8" t="str">
        <f t="shared" si="7"/>
        <v>Con entregas verificadas</v>
      </c>
    </row>
    <row r="52" spans="1:22" ht="15" customHeight="1" x14ac:dyDescent="0.25">
      <c r="A52" s="8" t="s">
        <v>250</v>
      </c>
      <c r="B52" s="8" t="s">
        <v>251</v>
      </c>
      <c r="C52" s="8" t="s">
        <v>177</v>
      </c>
      <c r="D52" s="8" t="s">
        <v>161</v>
      </c>
      <c r="E52" s="8" t="s">
        <v>128</v>
      </c>
      <c r="F52" s="16">
        <v>366.6</v>
      </c>
      <c r="G52" s="16">
        <v>315.47000000000003</v>
      </c>
      <c r="H52" s="13">
        <f t="shared" si="4"/>
        <v>315.47000000000003</v>
      </c>
      <c r="I52" s="21">
        <v>1</v>
      </c>
      <c r="J52" s="21">
        <v>1</v>
      </c>
      <c r="K52" s="21">
        <v>1</v>
      </c>
      <c r="L52" s="8" t="s">
        <v>369</v>
      </c>
      <c r="M52" s="14">
        <f>IF(I52="",0,I52)*Resumen!$C$6+IF(J52="",0,J52)*Resumen!$C$7+IF(K52="",0,K52)*Resumen!$C$9</f>
        <v>1</v>
      </c>
      <c r="N52" s="14">
        <f>IF(I52="",1,I52)*Resumen!$C$6+IF(J52="",1,J52)*Resumen!$C$7+IF(K52="",1,K52)*Resumen!$C$9</f>
        <v>1</v>
      </c>
      <c r="O52" s="13">
        <f t="shared" si="5"/>
        <v>315.47000000000003</v>
      </c>
      <c r="P52" s="13">
        <f t="shared" si="6"/>
        <v>315.47000000000003</v>
      </c>
      <c r="Q52" s="21" t="s">
        <v>345</v>
      </c>
      <c r="R52" s="21" t="s">
        <v>341</v>
      </c>
      <c r="S52" s="21" t="s">
        <v>343</v>
      </c>
      <c r="T52" s="28"/>
      <c r="U52" s="13">
        <f>H52*((Q52="Oficial")*Resumen!$C$6+(R52="Oficial")*Resumen!$C$7+(S52="Oficial")*Resumen!$C$9)</f>
        <v>141.96150000000003</v>
      </c>
      <c r="V52" s="8" t="str">
        <f t="shared" si="7"/>
        <v>Con entregas verificadas</v>
      </c>
    </row>
    <row r="53" spans="1:22" ht="15" customHeight="1" x14ac:dyDescent="0.25">
      <c r="A53" s="8" t="s">
        <v>269</v>
      </c>
      <c r="B53" s="8" t="s">
        <v>270</v>
      </c>
      <c r="C53" s="8" t="s">
        <v>180</v>
      </c>
      <c r="D53" s="8" t="s">
        <v>161</v>
      </c>
      <c r="E53" s="8" t="s">
        <v>128</v>
      </c>
      <c r="F53" s="16">
        <v>204.1</v>
      </c>
      <c r="H53" s="13">
        <f t="shared" si="4"/>
        <v>204.1</v>
      </c>
      <c r="I53" s="21">
        <v>1</v>
      </c>
      <c r="J53" s="21">
        <v>1</v>
      </c>
      <c r="K53" s="21">
        <v>1</v>
      </c>
      <c r="L53" s="8" t="s">
        <v>369</v>
      </c>
      <c r="M53" s="14">
        <f>IF(I53="",0,I53)*Resumen!$C$6+IF(J53="",0,J53)*Resumen!$C$7+IF(K53="",0,K53)*Resumen!$C$9</f>
        <v>1</v>
      </c>
      <c r="N53" s="14">
        <f>IF(I53="",1,I53)*Resumen!$C$6+IF(J53="",1,J53)*Resumen!$C$7+IF(K53="",1,K53)*Resumen!$C$9</f>
        <v>1</v>
      </c>
      <c r="O53" s="13">
        <f t="shared" si="5"/>
        <v>204.1</v>
      </c>
      <c r="P53" s="13">
        <f t="shared" si="6"/>
        <v>204.1</v>
      </c>
      <c r="Q53" s="21" t="s">
        <v>345</v>
      </c>
      <c r="R53" s="21" t="s">
        <v>345</v>
      </c>
      <c r="S53" s="21" t="s">
        <v>343</v>
      </c>
      <c r="T53" s="28"/>
      <c r="U53" s="13">
        <f>H53*((Q53="Oficial")*Resumen!$C$6+(R53="Oficial")*Resumen!$C$7+(S53="Oficial")*Resumen!$C$9)</f>
        <v>183.69</v>
      </c>
      <c r="V53" s="8" t="str">
        <f t="shared" si="7"/>
        <v>Con entregas verificadas</v>
      </c>
    </row>
    <row r="54" spans="1:22" ht="15" customHeight="1" x14ac:dyDescent="0.25">
      <c r="A54" s="22"/>
      <c r="B54" s="10" t="s">
        <v>252</v>
      </c>
      <c r="C54" s="22"/>
      <c r="D54" s="22"/>
      <c r="E54" s="22"/>
      <c r="F54" s="23">
        <f t="shared" ref="F54:K54" si="8">SUM(F5:F53)</f>
        <v>8909.11</v>
      </c>
      <c r="G54" s="23">
        <f t="shared" si="8"/>
        <v>5148.9299999999994</v>
      </c>
      <c r="H54" s="23">
        <f t="shared" si="8"/>
        <v>8338.0400000000009</v>
      </c>
      <c r="I54" s="10">
        <f t="shared" si="8"/>
        <v>49</v>
      </c>
      <c r="J54" s="10">
        <f t="shared" si="8"/>
        <v>49</v>
      </c>
      <c r="K54" s="10">
        <f t="shared" si="8"/>
        <v>49</v>
      </c>
      <c r="L54" s="10" t="str">
        <f>"Celdas sin dato: "&amp;COUNTBLANK(I5:K53)&amp;" de "&amp;147</f>
        <v>Celdas sin dato: 0 de 147</v>
      </c>
      <c r="M54" s="24">
        <f>IF(H54=0,0,O54/H54)</f>
        <v>1</v>
      </c>
      <c r="N54" s="24">
        <f>IF(H54=0,0,P54/H54)</f>
        <v>1</v>
      </c>
      <c r="O54" s="23">
        <f>SUM(O5:O53)</f>
        <v>8338.0400000000009</v>
      </c>
      <c r="P54" s="23">
        <f>SUM(P5:P53)</f>
        <v>8338.0400000000009</v>
      </c>
      <c r="Q54" s="22"/>
      <c r="R54" s="22"/>
      <c r="S54" s="22"/>
      <c r="T54" s="22"/>
      <c r="U54" s="23">
        <f>SUM(U5:U53)</f>
        <v>4640.3054999999986</v>
      </c>
      <c r="V54" s="10" t="str">
        <f>COUNTIF(V5:V53,"Con entregas verificadas")&amp;" con entregas verificadas de "&amp;COUNTA(B5:B53)</f>
        <v>49 con entregas verificadas de 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4"/>
  <sheetViews>
    <sheetView zoomScale="85" zoomScaleNormal="85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K74" sqref="K74"/>
    </sheetView>
  </sheetViews>
  <sheetFormatPr baseColWidth="10" defaultColWidth="8.7109375" defaultRowHeight="15" x14ac:dyDescent="0.25"/>
  <cols>
    <col min="1" max="1" width="9" style="4" customWidth="1"/>
    <col min="2" max="2" width="24" style="4" customWidth="1"/>
    <col min="3" max="3" width="15" style="4" customWidth="1"/>
    <col min="4" max="4" width="22" style="4" customWidth="1"/>
    <col min="5" max="21" width="14" style="4" customWidth="1"/>
  </cols>
  <sheetData>
    <row r="1" spans="1:21" ht="15" customHeight="1" x14ac:dyDescent="0.25">
      <c r="A1" s="5" t="s">
        <v>370</v>
      </c>
    </row>
    <row r="2" spans="1:21" ht="15" customHeight="1" x14ac:dyDescent="0.25">
      <c r="A2" s="6" t="s">
        <v>371</v>
      </c>
    </row>
    <row r="4" spans="1:21" ht="60" customHeight="1" x14ac:dyDescent="0.25">
      <c r="A4" s="20" t="s">
        <v>97</v>
      </c>
      <c r="B4" s="20" t="s">
        <v>98</v>
      </c>
      <c r="C4" s="20" t="s">
        <v>99</v>
      </c>
      <c r="D4" s="20" t="s">
        <v>100</v>
      </c>
      <c r="E4" s="20" t="s">
        <v>372</v>
      </c>
      <c r="F4" s="20" t="s">
        <v>373</v>
      </c>
      <c r="G4" s="20" t="s">
        <v>374</v>
      </c>
      <c r="H4" s="20" t="s">
        <v>375</v>
      </c>
      <c r="I4" s="20" t="s">
        <v>376</v>
      </c>
      <c r="J4" s="20" t="s">
        <v>377</v>
      </c>
      <c r="K4" s="20" t="s">
        <v>378</v>
      </c>
      <c r="L4" s="20" t="s">
        <v>379</v>
      </c>
      <c r="M4" s="20" t="s">
        <v>380</v>
      </c>
      <c r="N4" s="20" t="s">
        <v>381</v>
      </c>
      <c r="O4" s="20" t="s">
        <v>382</v>
      </c>
      <c r="P4" s="20" t="s">
        <v>383</v>
      </c>
      <c r="Q4" s="20" t="s">
        <v>384</v>
      </c>
      <c r="R4" s="20" t="s">
        <v>385</v>
      </c>
      <c r="S4" s="20" t="s">
        <v>386</v>
      </c>
      <c r="T4" s="20" t="s">
        <v>387</v>
      </c>
      <c r="U4" s="20" t="s">
        <v>388</v>
      </c>
    </row>
    <row r="5" spans="1:21" ht="15" customHeight="1" x14ac:dyDescent="0.25">
      <c r="A5" s="8" t="s">
        <v>178</v>
      </c>
      <c r="B5" s="8" t="s">
        <v>179</v>
      </c>
      <c r="C5" s="8" t="s">
        <v>180</v>
      </c>
      <c r="D5" s="8" t="s">
        <v>161</v>
      </c>
      <c r="E5" s="13">
        <f>SUMIF(Rural_2026!$A$5:$A$69,$A5,Rural_2026!$H$5:$H$69)</f>
        <v>169909</v>
      </c>
      <c r="F5" s="13">
        <f>SUMIF(Urbano_2026!$A$5:$A$53,$A5,Urbano_2026!$H$5:$H$53)</f>
        <v>0</v>
      </c>
      <c r="G5" s="13">
        <f t="shared" ref="G5:G36" si="0">E5+F5</f>
        <v>169909</v>
      </c>
      <c r="H5" s="13">
        <f>SUMIF(Rural_2024!$A$5:$A$61,$A5,Rural_2024!$O$5:$O$61)+SUMIF(Urbano_2024!$A$5:$A$53,$A5,Urbano_2024!$O$5:$O$53)</f>
        <v>0</v>
      </c>
      <c r="I5" s="14">
        <f t="shared" ref="I5:I36" si="1">IF(G5=0,0,H5/G5)</f>
        <v>0</v>
      </c>
      <c r="J5" s="13">
        <f>SUMIF(Rural_2024!$A$5:$A$61,$A5,Rural_2024!$R$5:$R$61)+SUMIF(Urbano_2024!$A$5:$A$53,$A5,Urbano_2024!$R$5:$R$53)</f>
        <v>0</v>
      </c>
      <c r="K5" s="13">
        <f>SUMIF(Rural_2025!$A$5:$A$69,$A5,Rural_2025!$O$5:$O$69)+SUMIF(Urbano_2025!$A$5:$A$53,$A5,Urbano_2025!$O$5:$O$53)</f>
        <v>0</v>
      </c>
      <c r="L5" s="13">
        <f>SUMIF(Rural_2025!$A$5:$A$69,$A5,Rural_2025!$P$5:$P$69)+SUMIF(Urbano_2025!$A$5:$A$53,$A5,Urbano_2025!$P$5:$P$53)</f>
        <v>169909</v>
      </c>
      <c r="M5" s="14">
        <f t="shared" ref="M5:M36" si="2">IF(G5=0,0,K5/G5)</f>
        <v>0</v>
      </c>
      <c r="N5" s="14">
        <f t="shared" ref="N5:N36" si="3">IF(G5=0,0,L5/G5)</f>
        <v>1</v>
      </c>
      <c r="O5" s="13">
        <f>SUMIF(Rural_2026!$A$5:$A$69,$A5,Rural_2026!$O$5:$O$69)+SUMIF(Urbano_2026!$A$5:$A$53,$A5,Urbano_2026!$O$5:$O$53)</f>
        <v>152918.1</v>
      </c>
      <c r="P5" s="13">
        <f>SUMIF(Rural_2026!$A$5:$A$69,$A5,Rural_2026!$P$5:$P$69)+SUMIF(Urbano_2026!$A$5:$A$53,$A5,Urbano_2026!$P$5:$P$53)</f>
        <v>169909</v>
      </c>
      <c r="Q5" s="14">
        <f t="shared" ref="Q5:Q36" si="4">IF(G5=0,0,O5/G5)</f>
        <v>0.9</v>
      </c>
      <c r="R5" s="14">
        <f t="shared" ref="R5:R36" si="5">IF(G5=0,0,P5/G5)</f>
        <v>1</v>
      </c>
      <c r="S5" s="13">
        <f>SUMIF(Rural_2026!$A$5:$A$69,$A5,Rural_2026!$U$5:$U$69)+SUMIF(Urbano_2026!$A$5:$A$53,$A5,Urbano_2026!$U$5:$U$53)</f>
        <v>0</v>
      </c>
      <c r="T5" s="14">
        <f t="shared" ref="T5:T36" si="6">IF(G5=0,0,S5/G5)</f>
        <v>0</v>
      </c>
      <c r="U5" s="29">
        <f t="shared" ref="U5:U36" si="7">(Q5-I5)*100</f>
        <v>90</v>
      </c>
    </row>
    <row r="6" spans="1:21" ht="15" customHeight="1" x14ac:dyDescent="0.25">
      <c r="A6" s="8" t="s">
        <v>265</v>
      </c>
      <c r="B6" s="8" t="s">
        <v>266</v>
      </c>
      <c r="C6" s="8" t="s">
        <v>180</v>
      </c>
      <c r="D6" s="8" t="s">
        <v>161</v>
      </c>
      <c r="E6" s="13">
        <f>SUMIF(Rural_2026!$A$5:$A$69,$A6,Rural_2026!$H$5:$H$69)</f>
        <v>187269.68</v>
      </c>
      <c r="F6" s="13">
        <f>SUMIF(Urbano_2026!$A$5:$A$53,$A6,Urbano_2026!$H$5:$H$53)</f>
        <v>212.11</v>
      </c>
      <c r="G6" s="13">
        <f t="shared" si="0"/>
        <v>187481.78999999998</v>
      </c>
      <c r="H6" s="13">
        <f>SUMIF(Rural_2024!$A$5:$A$61,$A6,Rural_2024!$O$5:$O$61)+SUMIF(Urbano_2024!$A$5:$A$53,$A6,Urbano_2024!$O$5:$O$53)</f>
        <v>0</v>
      </c>
      <c r="I6" s="14">
        <f t="shared" si="1"/>
        <v>0</v>
      </c>
      <c r="J6" s="13">
        <f>SUMIF(Rural_2024!$A$5:$A$61,$A6,Rural_2024!$R$5:$R$61)+SUMIF(Urbano_2024!$A$5:$A$53,$A6,Urbano_2024!$R$5:$R$53)</f>
        <v>0</v>
      </c>
      <c r="K6" s="13">
        <f>SUMIF(Rural_2025!$A$5:$A$69,$A6,Rural_2025!$O$5:$O$69)+SUMIF(Urbano_2025!$A$5:$A$53,$A6,Urbano_2025!$O$5:$O$53)</f>
        <v>212.11</v>
      </c>
      <c r="L6" s="13">
        <f>SUMIF(Rural_2025!$A$5:$A$69,$A6,Rural_2025!$P$5:$P$69)+SUMIF(Urbano_2025!$A$5:$A$53,$A6,Urbano_2025!$P$5:$P$53)</f>
        <v>18939.078000000001</v>
      </c>
      <c r="M6" s="14">
        <f t="shared" si="2"/>
        <v>1.1313632113284177E-3</v>
      </c>
      <c r="N6" s="14">
        <f t="shared" si="3"/>
        <v>0.1010182268901956</v>
      </c>
      <c r="O6" s="13">
        <f>SUMIF(Rural_2026!$A$5:$A$69,$A6,Rural_2026!$O$5:$O$69)+SUMIF(Urbano_2026!$A$5:$A$53,$A6,Urbano_2026!$O$5:$O$53)</f>
        <v>212.11</v>
      </c>
      <c r="P6" s="13">
        <f>SUMIF(Rural_2026!$A$5:$A$69,$A6,Rural_2026!$P$5:$P$69)+SUMIF(Urbano_2026!$A$5:$A$53,$A6,Urbano_2026!$P$5:$P$53)</f>
        <v>212.11</v>
      </c>
      <c r="Q6" s="14">
        <f t="shared" si="4"/>
        <v>1.1313632113284177E-3</v>
      </c>
      <c r="R6" s="14">
        <f t="shared" si="5"/>
        <v>1.1313632113284177E-3</v>
      </c>
      <c r="S6" s="13">
        <f>SUMIF(Rural_2026!$A$5:$A$69,$A6,Rural_2026!$U$5:$U$69)+SUMIF(Urbano_2026!$A$5:$A$53,$A6,Urbano_2026!$U$5:$U$53)</f>
        <v>0</v>
      </c>
      <c r="T6" s="14">
        <f t="shared" si="6"/>
        <v>0</v>
      </c>
      <c r="U6" s="29">
        <f t="shared" si="7"/>
        <v>0.11313632113284176</v>
      </c>
    </row>
    <row r="7" spans="1:21" ht="15" customHeight="1" x14ac:dyDescent="0.25">
      <c r="A7" s="8" t="s">
        <v>267</v>
      </c>
      <c r="B7" s="8" t="s">
        <v>268</v>
      </c>
      <c r="C7" s="8" t="s">
        <v>180</v>
      </c>
      <c r="D7" s="8" t="s">
        <v>161</v>
      </c>
      <c r="E7" s="13">
        <f>SUMIF(Rural_2026!$A$5:$A$69,$A7,Rural_2026!$H$5:$H$69)</f>
        <v>0</v>
      </c>
      <c r="F7" s="13">
        <f>SUMIF(Urbano_2026!$A$5:$A$53,$A7,Urbano_2026!$H$5:$H$53)</f>
        <v>1092.6199999999999</v>
      </c>
      <c r="G7" s="13">
        <f t="shared" si="0"/>
        <v>1092.6199999999999</v>
      </c>
      <c r="H7" s="13">
        <f>SUMIF(Rural_2024!$A$5:$A$61,$A7,Rural_2024!$O$5:$O$61)+SUMIF(Urbano_2024!$A$5:$A$53,$A7,Urbano_2024!$O$5:$O$53)</f>
        <v>491.67899999999997</v>
      </c>
      <c r="I7" s="14">
        <f t="shared" si="1"/>
        <v>0.45</v>
      </c>
      <c r="J7" s="13">
        <f>SUMIF(Rural_2024!$A$5:$A$61,$A7,Rural_2024!$R$5:$R$61)+SUMIF(Urbano_2024!$A$5:$A$53,$A7,Urbano_2024!$R$5:$R$53)</f>
        <v>491.67899999999997</v>
      </c>
      <c r="K7" s="13">
        <f>SUMIF(Rural_2025!$A$5:$A$69,$A7,Rural_2025!$O$5:$O$69)+SUMIF(Urbano_2025!$A$5:$A$53,$A7,Urbano_2025!$O$5:$O$53)</f>
        <v>1092.6199999999999</v>
      </c>
      <c r="L7" s="13">
        <f>SUMIF(Rural_2025!$A$5:$A$69,$A7,Rural_2025!$P$5:$P$69)+SUMIF(Urbano_2025!$A$5:$A$53,$A7,Urbano_2025!$P$5:$P$53)</f>
        <v>1092.6199999999999</v>
      </c>
      <c r="M7" s="14">
        <f t="shared" si="2"/>
        <v>1</v>
      </c>
      <c r="N7" s="14">
        <f t="shared" si="3"/>
        <v>1</v>
      </c>
      <c r="O7" s="13">
        <f>SUMIF(Rural_2026!$A$5:$A$69,$A7,Rural_2026!$O$5:$O$69)+SUMIF(Urbano_2026!$A$5:$A$53,$A7,Urbano_2026!$O$5:$O$53)</f>
        <v>1092.6199999999999</v>
      </c>
      <c r="P7" s="13">
        <f>SUMIF(Rural_2026!$A$5:$A$69,$A7,Rural_2026!$P$5:$P$69)+SUMIF(Urbano_2026!$A$5:$A$53,$A7,Urbano_2026!$P$5:$P$53)</f>
        <v>1092.6199999999999</v>
      </c>
      <c r="Q7" s="14">
        <f t="shared" si="4"/>
        <v>1</v>
      </c>
      <c r="R7" s="14">
        <f t="shared" si="5"/>
        <v>1</v>
      </c>
      <c r="S7" s="13">
        <f>SUMIF(Rural_2026!$A$5:$A$69,$A7,Rural_2026!$U$5:$U$69)+SUMIF(Urbano_2026!$A$5:$A$53,$A7,Urbano_2026!$U$5:$U$53)</f>
        <v>983.35799999999995</v>
      </c>
      <c r="T7" s="14">
        <f t="shared" si="6"/>
        <v>0.9</v>
      </c>
      <c r="U7" s="29">
        <f t="shared" si="7"/>
        <v>55.000000000000007</v>
      </c>
    </row>
    <row r="8" spans="1:21" ht="15" customHeight="1" x14ac:dyDescent="0.25">
      <c r="A8" s="8" t="s">
        <v>238</v>
      </c>
      <c r="B8" s="8" t="s">
        <v>239</v>
      </c>
      <c r="C8" s="8" t="s">
        <v>180</v>
      </c>
      <c r="D8" s="8" t="s">
        <v>161</v>
      </c>
      <c r="E8" s="13">
        <f>SUMIF(Rural_2026!$A$5:$A$69,$A8,Rural_2026!$H$5:$H$69)</f>
        <v>115340</v>
      </c>
      <c r="F8" s="13">
        <f>SUMIF(Urbano_2026!$A$5:$A$53,$A8,Urbano_2026!$H$5:$H$53)</f>
        <v>0</v>
      </c>
      <c r="G8" s="13">
        <f t="shared" si="0"/>
        <v>115340</v>
      </c>
      <c r="H8" s="13">
        <f>SUMIF(Rural_2024!$A$5:$A$61,$A8,Rural_2024!$O$5:$O$61)+SUMIF(Urbano_2024!$A$5:$A$53,$A8,Urbano_2024!$O$5:$O$53)</f>
        <v>0</v>
      </c>
      <c r="I8" s="14">
        <f t="shared" si="1"/>
        <v>0</v>
      </c>
      <c r="J8" s="13">
        <f>SUMIF(Rural_2024!$A$5:$A$61,$A8,Rural_2024!$R$5:$R$61)+SUMIF(Urbano_2024!$A$5:$A$53,$A8,Urbano_2024!$R$5:$R$53)</f>
        <v>0</v>
      </c>
      <c r="K8" s="13">
        <f>SUMIF(Rural_2025!$A$5:$A$69,$A8,Rural_2025!$O$5:$O$69)+SUMIF(Urbano_2025!$A$5:$A$53,$A8,Urbano_2025!$O$5:$O$53)</f>
        <v>0</v>
      </c>
      <c r="L8" s="13">
        <f>SUMIF(Rural_2025!$A$5:$A$69,$A8,Rural_2025!$P$5:$P$69)+SUMIF(Urbano_2025!$A$5:$A$53,$A8,Urbano_2025!$P$5:$P$53)</f>
        <v>115340</v>
      </c>
      <c r="M8" s="14">
        <f t="shared" si="2"/>
        <v>0</v>
      </c>
      <c r="N8" s="14">
        <f t="shared" si="3"/>
        <v>1</v>
      </c>
      <c r="O8" s="13">
        <f>SUMIF(Rural_2026!$A$5:$A$69,$A8,Rural_2026!$O$5:$O$69)+SUMIF(Urbano_2026!$A$5:$A$53,$A8,Urbano_2026!$O$5:$O$53)</f>
        <v>0</v>
      </c>
      <c r="P8" s="13">
        <f>SUMIF(Rural_2026!$A$5:$A$69,$A8,Rural_2026!$P$5:$P$69)+SUMIF(Urbano_2026!$A$5:$A$53,$A8,Urbano_2026!$P$5:$P$53)</f>
        <v>0</v>
      </c>
      <c r="Q8" s="14">
        <f t="shared" si="4"/>
        <v>0</v>
      </c>
      <c r="R8" s="14">
        <f t="shared" si="5"/>
        <v>0</v>
      </c>
      <c r="S8" s="13">
        <f>SUMIF(Rural_2026!$A$5:$A$69,$A8,Rural_2026!$U$5:$U$69)+SUMIF(Urbano_2026!$A$5:$A$53,$A8,Urbano_2026!$U$5:$U$53)</f>
        <v>0</v>
      </c>
      <c r="T8" s="14">
        <f t="shared" si="6"/>
        <v>0</v>
      </c>
      <c r="U8" s="29">
        <f t="shared" si="7"/>
        <v>0</v>
      </c>
    </row>
    <row r="9" spans="1:21" ht="15" customHeight="1" x14ac:dyDescent="0.25">
      <c r="A9" s="8" t="s">
        <v>269</v>
      </c>
      <c r="B9" s="8" t="s">
        <v>270</v>
      </c>
      <c r="C9" s="8" t="s">
        <v>180</v>
      </c>
      <c r="D9" s="8" t="s">
        <v>161</v>
      </c>
      <c r="E9" s="13">
        <f>SUMIF(Rural_2026!$A$5:$A$69,$A9,Rural_2026!$H$5:$H$69)</f>
        <v>0</v>
      </c>
      <c r="F9" s="13">
        <f>SUMIF(Urbano_2026!$A$5:$A$53,$A9,Urbano_2026!$H$5:$H$53)</f>
        <v>204.1</v>
      </c>
      <c r="G9" s="13">
        <f t="shared" si="0"/>
        <v>204.1</v>
      </c>
      <c r="H9" s="13">
        <f>SUMIF(Rural_2024!$A$5:$A$61,$A9,Rural_2024!$O$5:$O$61)+SUMIF(Urbano_2024!$A$5:$A$53,$A9,Urbano_2024!$O$5:$O$53)</f>
        <v>0</v>
      </c>
      <c r="I9" s="14">
        <f t="shared" si="1"/>
        <v>0</v>
      </c>
      <c r="J9" s="13">
        <f>SUMIF(Rural_2024!$A$5:$A$61,$A9,Rural_2024!$R$5:$R$61)+SUMIF(Urbano_2024!$A$5:$A$53,$A9,Urbano_2024!$R$5:$R$53)</f>
        <v>0</v>
      </c>
      <c r="K9" s="13">
        <f>SUMIF(Rural_2025!$A$5:$A$69,$A9,Rural_2025!$O$5:$O$69)+SUMIF(Urbano_2025!$A$5:$A$53,$A9,Urbano_2025!$O$5:$O$53)</f>
        <v>204.1</v>
      </c>
      <c r="L9" s="13">
        <f>SUMIF(Rural_2025!$A$5:$A$69,$A9,Rural_2025!$P$5:$P$69)+SUMIF(Urbano_2025!$A$5:$A$53,$A9,Urbano_2025!$P$5:$P$53)</f>
        <v>204.1</v>
      </c>
      <c r="M9" s="14">
        <f t="shared" si="2"/>
        <v>1</v>
      </c>
      <c r="N9" s="14">
        <f t="shared" si="3"/>
        <v>1</v>
      </c>
      <c r="O9" s="13">
        <f>SUMIF(Rural_2026!$A$5:$A$69,$A9,Rural_2026!$O$5:$O$69)+SUMIF(Urbano_2026!$A$5:$A$53,$A9,Urbano_2026!$O$5:$O$53)</f>
        <v>204.1</v>
      </c>
      <c r="P9" s="13">
        <f>SUMIF(Rural_2026!$A$5:$A$69,$A9,Rural_2026!$P$5:$P$69)+SUMIF(Urbano_2026!$A$5:$A$53,$A9,Urbano_2026!$P$5:$P$53)</f>
        <v>204.1</v>
      </c>
      <c r="Q9" s="14">
        <f t="shared" si="4"/>
        <v>1</v>
      </c>
      <c r="R9" s="14">
        <f t="shared" si="5"/>
        <v>1</v>
      </c>
      <c r="S9" s="13">
        <f>SUMIF(Rural_2026!$A$5:$A$69,$A9,Rural_2026!$U$5:$U$69)+SUMIF(Urbano_2026!$A$5:$A$53,$A9,Urbano_2026!$U$5:$U$53)</f>
        <v>183.69</v>
      </c>
      <c r="T9" s="14">
        <f t="shared" si="6"/>
        <v>0.9</v>
      </c>
      <c r="U9" s="29">
        <f t="shared" si="7"/>
        <v>100</v>
      </c>
    </row>
    <row r="10" spans="1:21" ht="15" customHeight="1" x14ac:dyDescent="0.25">
      <c r="A10" s="8" t="s">
        <v>175</v>
      </c>
      <c r="B10" s="8" t="s">
        <v>176</v>
      </c>
      <c r="C10" s="8" t="s">
        <v>177</v>
      </c>
      <c r="D10" s="8" t="s">
        <v>161</v>
      </c>
      <c r="E10" s="13">
        <f>SUMIF(Rural_2026!$A$5:$A$69,$A10,Rural_2026!$H$5:$H$69)</f>
        <v>26258</v>
      </c>
      <c r="F10" s="13">
        <f>SUMIF(Urbano_2026!$A$5:$A$53,$A10,Urbano_2026!$H$5:$H$53)</f>
        <v>32.5</v>
      </c>
      <c r="G10" s="13">
        <f t="shared" si="0"/>
        <v>26290.5</v>
      </c>
      <c r="H10" s="13">
        <f>SUMIF(Rural_2024!$A$5:$A$61,$A10,Rural_2024!$O$5:$O$61)+SUMIF(Urbano_2024!$A$5:$A$53,$A10,Urbano_2024!$O$5:$O$53)</f>
        <v>0</v>
      </c>
      <c r="I10" s="14">
        <f t="shared" si="1"/>
        <v>0</v>
      </c>
      <c r="J10" s="13">
        <f>SUMIF(Rural_2024!$A$5:$A$61,$A10,Rural_2024!$R$5:$R$61)+SUMIF(Urbano_2024!$A$5:$A$53,$A10,Urbano_2024!$R$5:$R$53)</f>
        <v>0</v>
      </c>
      <c r="K10" s="13">
        <f>SUMIF(Rural_2025!$A$5:$A$69,$A10,Rural_2025!$O$5:$O$69)+SUMIF(Urbano_2025!$A$5:$A$53,$A10,Urbano_2025!$O$5:$O$53)</f>
        <v>26290.5</v>
      </c>
      <c r="L10" s="13">
        <f>SUMIF(Rural_2025!$A$5:$A$69,$A10,Rural_2025!$P$5:$P$69)+SUMIF(Urbano_2025!$A$5:$A$53,$A10,Urbano_2025!$P$5:$P$53)</f>
        <v>11848.6</v>
      </c>
      <c r="M10" s="14">
        <f t="shared" si="2"/>
        <v>1</v>
      </c>
      <c r="N10" s="14">
        <f t="shared" si="3"/>
        <v>0.45067990338715508</v>
      </c>
      <c r="O10" s="13">
        <f>SUMIF(Rural_2026!$A$5:$A$69,$A10,Rural_2026!$O$5:$O$69)+SUMIF(Urbano_2026!$A$5:$A$53,$A10,Urbano_2026!$O$5:$O$53)</f>
        <v>26290.5</v>
      </c>
      <c r="P10" s="13">
        <f>SUMIF(Rural_2026!$A$5:$A$69,$A10,Rural_2026!$P$5:$P$69)+SUMIF(Urbano_2026!$A$5:$A$53,$A10,Urbano_2026!$P$5:$P$53)</f>
        <v>26290.5</v>
      </c>
      <c r="Q10" s="14">
        <f t="shared" si="4"/>
        <v>1</v>
      </c>
      <c r="R10" s="14">
        <f t="shared" si="5"/>
        <v>1</v>
      </c>
      <c r="S10" s="13">
        <f>SUMIF(Rural_2026!$A$5:$A$69,$A10,Rural_2026!$U$5:$U$69)+SUMIF(Urbano_2026!$A$5:$A$53,$A10,Urbano_2026!$U$5:$U$53)</f>
        <v>11833.975</v>
      </c>
      <c r="T10" s="14">
        <f t="shared" si="6"/>
        <v>0.45012361879766455</v>
      </c>
      <c r="U10" s="29">
        <f t="shared" si="7"/>
        <v>100</v>
      </c>
    </row>
    <row r="11" spans="1:21" ht="15" customHeight="1" x14ac:dyDescent="0.25">
      <c r="A11" s="8" t="s">
        <v>204</v>
      </c>
      <c r="B11" s="8" t="s">
        <v>205</v>
      </c>
      <c r="C11" s="8" t="s">
        <v>177</v>
      </c>
      <c r="D11" s="8" t="s">
        <v>161</v>
      </c>
      <c r="E11" s="13">
        <f>SUMIF(Rural_2026!$A$5:$A$69,$A11,Rural_2026!$H$5:$H$69)</f>
        <v>45529</v>
      </c>
      <c r="F11" s="13">
        <f>SUMIF(Urbano_2026!$A$5:$A$53,$A11,Urbano_2026!$H$5:$H$53)</f>
        <v>35.1</v>
      </c>
      <c r="G11" s="13">
        <f t="shared" si="0"/>
        <v>45564.1</v>
      </c>
      <c r="H11" s="13">
        <f>SUMIF(Rural_2024!$A$5:$A$61,$A11,Rural_2024!$O$5:$O$61)+SUMIF(Urbano_2024!$A$5:$A$53,$A11,Urbano_2024!$O$5:$O$53)</f>
        <v>0</v>
      </c>
      <c r="I11" s="14">
        <f t="shared" si="1"/>
        <v>0</v>
      </c>
      <c r="J11" s="13">
        <f>SUMIF(Rural_2024!$A$5:$A$61,$A11,Rural_2024!$R$5:$R$61)+SUMIF(Urbano_2024!$A$5:$A$53,$A11,Urbano_2024!$R$5:$R$53)</f>
        <v>0</v>
      </c>
      <c r="K11" s="13">
        <f>SUMIF(Rural_2025!$A$5:$A$69,$A11,Rural_2025!$O$5:$O$69)+SUMIF(Urbano_2025!$A$5:$A$53,$A11,Urbano_2025!$O$5:$O$53)</f>
        <v>41011.199999999997</v>
      </c>
      <c r="L11" s="13">
        <f>SUMIF(Rural_2025!$A$5:$A$69,$A11,Rural_2025!$P$5:$P$69)+SUMIF(Urbano_2025!$A$5:$A$53,$A11,Urbano_2025!$P$5:$P$53)</f>
        <v>41011.199999999997</v>
      </c>
      <c r="M11" s="14">
        <f t="shared" si="2"/>
        <v>0.90007703433185338</v>
      </c>
      <c r="N11" s="14">
        <f t="shared" si="3"/>
        <v>0.90007703433185338</v>
      </c>
      <c r="O11" s="13">
        <f>SUMIF(Rural_2026!$A$5:$A$69,$A11,Rural_2026!$O$5:$O$69)+SUMIF(Urbano_2026!$A$5:$A$53,$A11,Urbano_2026!$O$5:$O$53)</f>
        <v>45564.1</v>
      </c>
      <c r="P11" s="13">
        <f>SUMIF(Rural_2026!$A$5:$A$69,$A11,Rural_2026!$P$5:$P$69)+SUMIF(Urbano_2026!$A$5:$A$53,$A11,Urbano_2026!$P$5:$P$53)</f>
        <v>45564.1</v>
      </c>
      <c r="Q11" s="14">
        <f t="shared" si="4"/>
        <v>1</v>
      </c>
      <c r="R11" s="14">
        <f t="shared" si="5"/>
        <v>1</v>
      </c>
      <c r="S11" s="13">
        <f>SUMIF(Rural_2026!$A$5:$A$69,$A11,Rural_2026!$U$5:$U$69)+SUMIF(Urbano_2026!$A$5:$A$53,$A11,Urbano_2026!$U$5:$U$53)</f>
        <v>0</v>
      </c>
      <c r="T11" s="14">
        <f t="shared" si="6"/>
        <v>0</v>
      </c>
      <c r="U11" s="29">
        <f t="shared" si="7"/>
        <v>100</v>
      </c>
    </row>
    <row r="12" spans="1:21" ht="15" customHeight="1" x14ac:dyDescent="0.25">
      <c r="A12" s="8" t="s">
        <v>214</v>
      </c>
      <c r="B12" s="8" t="s">
        <v>215</v>
      </c>
      <c r="C12" s="8" t="s">
        <v>177</v>
      </c>
      <c r="D12" s="8" t="s">
        <v>161</v>
      </c>
      <c r="E12" s="13">
        <f>SUMIF(Rural_2026!$A$5:$A$69,$A12,Rural_2026!$H$5:$H$69)</f>
        <v>121893.16</v>
      </c>
      <c r="F12" s="13">
        <f>SUMIF(Urbano_2026!$A$5:$A$53,$A12,Urbano_2026!$H$5:$H$53)</f>
        <v>601.64</v>
      </c>
      <c r="G12" s="13">
        <f t="shared" si="0"/>
        <v>122494.8</v>
      </c>
      <c r="H12" s="13">
        <f>SUMIF(Rural_2024!$A$5:$A$61,$A12,Rural_2024!$O$5:$O$61)+SUMIF(Urbano_2024!$A$5:$A$53,$A12,Urbano_2024!$O$5:$O$53)</f>
        <v>110245.32</v>
      </c>
      <c r="I12" s="14">
        <f t="shared" si="1"/>
        <v>0.9</v>
      </c>
      <c r="J12" s="13">
        <f>SUMIF(Rural_2024!$A$5:$A$61,$A12,Rural_2024!$R$5:$R$61)+SUMIF(Urbano_2024!$A$5:$A$53,$A12,Urbano_2024!$R$5:$R$53)</f>
        <v>110264.4094471378</v>
      </c>
      <c r="K12" s="13">
        <f>SUMIF(Rural_2025!$A$5:$A$69,$A12,Rural_2025!$O$5:$O$69)+SUMIF(Urbano_2025!$A$5:$A$53,$A12,Urbano_2025!$O$5:$O$53)</f>
        <v>122494.8</v>
      </c>
      <c r="L12" s="13">
        <f>SUMIF(Rural_2025!$A$5:$A$69,$A12,Rural_2025!$P$5:$P$69)+SUMIF(Urbano_2025!$A$5:$A$53,$A12,Urbano_2025!$P$5:$P$53)</f>
        <v>122494.8</v>
      </c>
      <c r="M12" s="14">
        <f t="shared" si="2"/>
        <v>1</v>
      </c>
      <c r="N12" s="14">
        <f t="shared" si="3"/>
        <v>1</v>
      </c>
      <c r="O12" s="13">
        <f>SUMIF(Rural_2026!$A$5:$A$69,$A12,Rural_2026!$O$5:$O$69)+SUMIF(Urbano_2026!$A$5:$A$53,$A12,Urbano_2026!$O$5:$O$53)</f>
        <v>122494.8</v>
      </c>
      <c r="P12" s="13">
        <f>SUMIF(Rural_2026!$A$5:$A$69,$A12,Rural_2026!$P$5:$P$69)+SUMIF(Urbano_2026!$A$5:$A$53,$A12,Urbano_2026!$P$5:$P$53)</f>
        <v>122494.8</v>
      </c>
      <c r="Q12" s="14">
        <f t="shared" si="4"/>
        <v>1</v>
      </c>
      <c r="R12" s="14">
        <f t="shared" si="5"/>
        <v>1</v>
      </c>
      <c r="S12" s="13">
        <f>SUMIF(Rural_2026!$A$5:$A$69,$A12,Rural_2026!$U$5:$U$69)+SUMIF(Urbano_2026!$A$5:$A$53,$A12,Urbano_2026!$U$5:$U$53)</f>
        <v>122494.8</v>
      </c>
      <c r="T12" s="14">
        <f t="shared" si="6"/>
        <v>1</v>
      </c>
      <c r="U12" s="29">
        <f t="shared" si="7"/>
        <v>9.9999999999999982</v>
      </c>
    </row>
    <row r="13" spans="1:21" ht="15" customHeight="1" x14ac:dyDescent="0.25">
      <c r="A13" s="8" t="s">
        <v>216</v>
      </c>
      <c r="B13" s="8" t="s">
        <v>217</v>
      </c>
      <c r="C13" s="8" t="s">
        <v>177</v>
      </c>
      <c r="D13" s="8" t="s">
        <v>161</v>
      </c>
      <c r="E13" s="13">
        <f>SUMIF(Rural_2026!$A$5:$A$69,$A13,Rural_2026!$H$5:$H$69)</f>
        <v>57906.71</v>
      </c>
      <c r="F13" s="13">
        <f>SUMIF(Urbano_2026!$A$5:$A$53,$A13,Urbano_2026!$H$5:$H$53)</f>
        <v>67.64</v>
      </c>
      <c r="G13" s="13">
        <f t="shared" si="0"/>
        <v>57974.35</v>
      </c>
      <c r="H13" s="13">
        <f>SUMIF(Rural_2024!$A$5:$A$61,$A13,Rural_2024!$O$5:$O$61)+SUMIF(Urbano_2024!$A$5:$A$53,$A13,Urbano_2024!$O$5:$O$53)</f>
        <v>52176.914999999994</v>
      </c>
      <c r="I13" s="14">
        <f t="shared" si="1"/>
        <v>0.89999999999999991</v>
      </c>
      <c r="J13" s="13">
        <f>SUMIF(Rural_2024!$A$5:$A$61,$A13,Rural_2024!$R$5:$R$61)+SUMIF(Urbano_2024!$A$5:$A$53,$A13,Urbano_2024!$R$5:$R$53)</f>
        <v>30061.352716319823</v>
      </c>
      <c r="K13" s="13">
        <f>SUMIF(Rural_2025!$A$5:$A$69,$A13,Rural_2025!$O$5:$O$69)+SUMIF(Urbano_2025!$A$5:$A$53,$A13,Urbano_2025!$O$5:$O$53)</f>
        <v>52183.678999999996</v>
      </c>
      <c r="L13" s="13">
        <f>SUMIF(Rural_2025!$A$5:$A$69,$A13,Rural_2025!$P$5:$P$69)+SUMIF(Urbano_2025!$A$5:$A$53,$A13,Urbano_2025!$P$5:$P$53)</f>
        <v>52183.678999999996</v>
      </c>
      <c r="M13" s="14">
        <f t="shared" si="2"/>
        <v>0.90011667228696823</v>
      </c>
      <c r="N13" s="14">
        <f t="shared" si="3"/>
        <v>0.90011667228696823</v>
      </c>
      <c r="O13" s="13">
        <f>SUMIF(Rural_2026!$A$5:$A$69,$A13,Rural_2026!$O$5:$O$69)+SUMIF(Urbano_2026!$A$5:$A$53,$A13,Urbano_2026!$O$5:$O$53)</f>
        <v>57974.35</v>
      </c>
      <c r="P13" s="13">
        <f>SUMIF(Rural_2026!$A$5:$A$69,$A13,Rural_2026!$P$5:$P$69)+SUMIF(Urbano_2026!$A$5:$A$53,$A13,Urbano_2026!$P$5:$P$53)</f>
        <v>57974.35</v>
      </c>
      <c r="Q13" s="14">
        <f t="shared" si="4"/>
        <v>1</v>
      </c>
      <c r="R13" s="14">
        <f t="shared" si="5"/>
        <v>1</v>
      </c>
      <c r="S13" s="13">
        <f>SUMIF(Rural_2026!$A$5:$A$69,$A13,Rural_2026!$U$5:$U$69)+SUMIF(Urbano_2026!$A$5:$A$53,$A13,Urbano_2026!$U$5:$U$53)</f>
        <v>26125.659499999998</v>
      </c>
      <c r="T13" s="14">
        <f t="shared" si="6"/>
        <v>0.45064169757832556</v>
      </c>
      <c r="U13" s="29">
        <f t="shared" si="7"/>
        <v>10.000000000000009</v>
      </c>
    </row>
    <row r="14" spans="1:21" ht="15" customHeight="1" x14ac:dyDescent="0.25">
      <c r="A14" s="8" t="s">
        <v>218</v>
      </c>
      <c r="B14" s="8" t="s">
        <v>219</v>
      </c>
      <c r="C14" s="8" t="s">
        <v>177</v>
      </c>
      <c r="D14" s="8" t="s">
        <v>161</v>
      </c>
      <c r="E14" s="13">
        <f>SUMIF(Rural_2026!$A$5:$A$69,$A14,Rural_2026!$H$5:$H$69)</f>
        <v>37194.19</v>
      </c>
      <c r="F14" s="13">
        <f>SUMIF(Urbano_2026!$A$5:$A$53,$A14,Urbano_2026!$H$5:$H$53)</f>
        <v>109.35</v>
      </c>
      <c r="G14" s="13">
        <f t="shared" si="0"/>
        <v>37303.54</v>
      </c>
      <c r="H14" s="13">
        <f>SUMIF(Rural_2024!$A$5:$A$61,$A14,Rural_2024!$O$5:$O$61)+SUMIF(Urbano_2024!$A$5:$A$53,$A14,Urbano_2024!$O$5:$O$53)</f>
        <v>33573.186000000002</v>
      </c>
      <c r="I14" s="14">
        <f t="shared" si="1"/>
        <v>0.9</v>
      </c>
      <c r="J14" s="13">
        <f>SUMIF(Rural_2024!$A$5:$A$61,$A14,Rural_2024!$R$5:$R$61)+SUMIF(Urbano_2024!$A$5:$A$53,$A14,Urbano_2024!$R$5:$R$53)</f>
        <v>33479.838224299063</v>
      </c>
      <c r="K14" s="13">
        <f>SUMIF(Rural_2025!$A$5:$A$69,$A14,Rural_2025!$O$5:$O$69)+SUMIF(Urbano_2025!$A$5:$A$53,$A14,Urbano_2025!$O$5:$O$53)</f>
        <v>37303.54</v>
      </c>
      <c r="L14" s="13">
        <f>SUMIF(Rural_2025!$A$5:$A$69,$A14,Rural_2025!$P$5:$P$69)+SUMIF(Urbano_2025!$A$5:$A$53,$A14,Urbano_2025!$P$5:$P$53)</f>
        <v>37303.54</v>
      </c>
      <c r="M14" s="14">
        <f t="shared" si="2"/>
        <v>1</v>
      </c>
      <c r="N14" s="14">
        <f t="shared" si="3"/>
        <v>1</v>
      </c>
      <c r="O14" s="13">
        <f>SUMIF(Rural_2026!$A$5:$A$69,$A14,Rural_2026!$O$5:$O$69)+SUMIF(Urbano_2026!$A$5:$A$53,$A14,Urbano_2026!$O$5:$O$53)</f>
        <v>37303.54</v>
      </c>
      <c r="P14" s="13">
        <f>SUMIF(Rural_2026!$A$5:$A$69,$A14,Rural_2026!$P$5:$P$69)+SUMIF(Urbano_2026!$A$5:$A$53,$A14,Urbano_2026!$P$5:$P$53)</f>
        <v>37303.54</v>
      </c>
      <c r="Q14" s="14">
        <f t="shared" si="4"/>
        <v>1</v>
      </c>
      <c r="R14" s="14">
        <f t="shared" si="5"/>
        <v>1</v>
      </c>
      <c r="S14" s="13">
        <f>SUMIF(Rural_2026!$A$5:$A$69,$A14,Rural_2026!$U$5:$U$69)+SUMIF(Urbano_2026!$A$5:$A$53,$A14,Urbano_2026!$U$5:$U$53)</f>
        <v>33584.120999999999</v>
      </c>
      <c r="T14" s="14">
        <f t="shared" si="6"/>
        <v>0.90029313571848668</v>
      </c>
      <c r="U14" s="29">
        <f t="shared" si="7"/>
        <v>9.9999999999999982</v>
      </c>
    </row>
    <row r="15" spans="1:21" ht="15" customHeight="1" x14ac:dyDescent="0.25">
      <c r="A15" s="8" t="s">
        <v>250</v>
      </c>
      <c r="B15" s="8" t="s">
        <v>251</v>
      </c>
      <c r="C15" s="8" t="s">
        <v>177</v>
      </c>
      <c r="D15" s="8" t="s">
        <v>161</v>
      </c>
      <c r="E15" s="13">
        <f>SUMIF(Rural_2026!$A$5:$A$69,$A15,Rural_2026!$H$5:$H$69)</f>
        <v>192222</v>
      </c>
      <c r="F15" s="13">
        <f>SUMIF(Urbano_2026!$A$5:$A$53,$A15,Urbano_2026!$H$5:$H$53)</f>
        <v>315.47000000000003</v>
      </c>
      <c r="G15" s="13">
        <f t="shared" si="0"/>
        <v>192537.47</v>
      </c>
      <c r="H15" s="13">
        <f>SUMIF(Rural_2024!$A$5:$A$61,$A15,Rural_2024!$O$5:$O$61)+SUMIF(Urbano_2024!$A$5:$A$53,$A15,Urbano_2024!$O$5:$O$53)</f>
        <v>283.92300000000006</v>
      </c>
      <c r="I15" s="14">
        <f t="shared" si="1"/>
        <v>1.4746376380659831E-3</v>
      </c>
      <c r="J15" s="13">
        <f>SUMIF(Rural_2024!$A$5:$A$61,$A15,Rural_2024!$R$5:$R$61)+SUMIF(Urbano_2024!$A$5:$A$53,$A15,Urbano_2024!$R$5:$R$53)</f>
        <v>283.83512534818948</v>
      </c>
      <c r="K15" s="13">
        <f>SUMIF(Rural_2025!$A$5:$A$69,$A15,Rural_2025!$O$5:$O$69)+SUMIF(Urbano_2025!$A$5:$A$53,$A15,Urbano_2025!$O$5:$O$53)</f>
        <v>315.47000000000003</v>
      </c>
      <c r="L15" s="13">
        <f>SUMIF(Rural_2025!$A$5:$A$69,$A15,Rural_2025!$P$5:$P$69)+SUMIF(Urbano_2025!$A$5:$A$53,$A15,Urbano_2025!$P$5:$P$53)</f>
        <v>173315.27000000002</v>
      </c>
      <c r="M15" s="14">
        <f t="shared" si="2"/>
        <v>1.6384862645177586E-3</v>
      </c>
      <c r="N15" s="14">
        <f t="shared" si="3"/>
        <v>0.90016384862645182</v>
      </c>
      <c r="O15" s="13">
        <f>SUMIF(Rural_2026!$A$5:$A$69,$A15,Rural_2026!$O$5:$O$69)+SUMIF(Urbano_2026!$A$5:$A$53,$A15,Urbano_2026!$O$5:$O$53)</f>
        <v>173315.27000000002</v>
      </c>
      <c r="P15" s="13">
        <f>SUMIF(Rural_2026!$A$5:$A$69,$A15,Rural_2026!$P$5:$P$69)+SUMIF(Urbano_2026!$A$5:$A$53,$A15,Urbano_2026!$P$5:$P$53)</f>
        <v>192537.47</v>
      </c>
      <c r="Q15" s="14">
        <f t="shared" si="4"/>
        <v>0.90016384862645182</v>
      </c>
      <c r="R15" s="14">
        <f t="shared" si="5"/>
        <v>1</v>
      </c>
      <c r="S15" s="13">
        <f>SUMIF(Rural_2026!$A$5:$A$69,$A15,Rural_2026!$U$5:$U$69)+SUMIF(Urbano_2026!$A$5:$A$53,$A15,Urbano_2026!$U$5:$U$53)</f>
        <v>141.96150000000003</v>
      </c>
      <c r="T15" s="14">
        <f t="shared" si="6"/>
        <v>7.3731881903299154E-4</v>
      </c>
      <c r="U15" s="29">
        <f t="shared" si="7"/>
        <v>89.868921098838584</v>
      </c>
    </row>
    <row r="16" spans="1:21" ht="15" customHeight="1" x14ac:dyDescent="0.25">
      <c r="A16" s="8" t="s">
        <v>164</v>
      </c>
      <c r="B16" s="8" t="s">
        <v>1</v>
      </c>
      <c r="C16" s="8" t="s">
        <v>157</v>
      </c>
      <c r="D16" s="8" t="s">
        <v>161</v>
      </c>
      <c r="E16" s="13">
        <f>SUMIF(Rural_2026!$A$5:$A$69,$A16,Rural_2026!$H$5:$H$69)</f>
        <v>120834.62</v>
      </c>
      <c r="F16" s="13">
        <f>SUMIF(Urbano_2026!$A$5:$A$53,$A16,Urbano_2026!$H$5:$H$53)</f>
        <v>0</v>
      </c>
      <c r="G16" s="13">
        <f t="shared" si="0"/>
        <v>120834.62</v>
      </c>
      <c r="H16" s="13">
        <f>SUMIF(Rural_2024!$A$5:$A$61,$A16,Rural_2024!$O$5:$O$61)+SUMIF(Urbano_2024!$A$5:$A$53,$A16,Urbano_2024!$O$5:$O$53)</f>
        <v>54375.578999999998</v>
      </c>
      <c r="I16" s="14">
        <f t="shared" si="1"/>
        <v>0.45</v>
      </c>
      <c r="J16" s="13">
        <f>SUMIF(Rural_2024!$A$5:$A$61,$A16,Rural_2024!$R$5:$R$61)+SUMIF(Urbano_2024!$A$5:$A$53,$A16,Urbano_2024!$R$5:$R$53)</f>
        <v>54375.578999999998</v>
      </c>
      <c r="K16" s="13">
        <f>SUMIF(Rural_2025!$A$5:$A$69,$A16,Rural_2025!$O$5:$O$69)+SUMIF(Urbano_2025!$A$5:$A$53,$A16,Urbano_2025!$O$5:$O$53)</f>
        <v>120834.62</v>
      </c>
      <c r="L16" s="13">
        <f>SUMIF(Rural_2025!$A$5:$A$69,$A16,Rural_2025!$P$5:$P$69)+SUMIF(Urbano_2025!$A$5:$A$53,$A16,Urbano_2025!$P$5:$P$53)</f>
        <v>120834.62</v>
      </c>
      <c r="M16" s="14">
        <f t="shared" si="2"/>
        <v>1</v>
      </c>
      <c r="N16" s="14">
        <f t="shared" si="3"/>
        <v>1</v>
      </c>
      <c r="O16" s="13">
        <f>SUMIF(Rural_2026!$A$5:$A$69,$A16,Rural_2026!$O$5:$O$69)+SUMIF(Urbano_2026!$A$5:$A$53,$A16,Urbano_2026!$O$5:$O$53)</f>
        <v>120834.62</v>
      </c>
      <c r="P16" s="13">
        <f>SUMIF(Rural_2026!$A$5:$A$69,$A16,Rural_2026!$P$5:$P$69)+SUMIF(Urbano_2026!$A$5:$A$53,$A16,Urbano_2026!$P$5:$P$53)</f>
        <v>120834.62</v>
      </c>
      <c r="Q16" s="14">
        <f t="shared" si="4"/>
        <v>1</v>
      </c>
      <c r="R16" s="14">
        <f t="shared" si="5"/>
        <v>1</v>
      </c>
      <c r="S16" s="13">
        <f>SUMIF(Rural_2026!$A$5:$A$69,$A16,Rural_2026!$U$5:$U$69)+SUMIF(Urbano_2026!$A$5:$A$53,$A16,Urbano_2026!$U$5:$U$53)</f>
        <v>0</v>
      </c>
      <c r="T16" s="14">
        <f t="shared" si="6"/>
        <v>0</v>
      </c>
      <c r="U16" s="29">
        <f t="shared" si="7"/>
        <v>55.000000000000007</v>
      </c>
    </row>
    <row r="17" spans="1:21" ht="15" customHeight="1" x14ac:dyDescent="0.25">
      <c r="A17" s="8" t="s">
        <v>316</v>
      </c>
      <c r="B17" s="8" t="s">
        <v>317</v>
      </c>
      <c r="C17" s="8" t="s">
        <v>157</v>
      </c>
      <c r="D17" s="8" t="s">
        <v>318</v>
      </c>
      <c r="E17" s="13">
        <f>SUMIF(Rural_2026!$A$5:$A$69,$A17,Rural_2026!$H$5:$H$69)</f>
        <v>141295.74</v>
      </c>
      <c r="F17" s="13">
        <f>SUMIF(Urbano_2026!$A$5:$A$53,$A17,Urbano_2026!$H$5:$H$53)</f>
        <v>0</v>
      </c>
      <c r="G17" s="13">
        <f t="shared" si="0"/>
        <v>141295.74</v>
      </c>
      <c r="H17" s="13">
        <f>SUMIF(Rural_2024!$A$5:$A$61,$A17,Rural_2024!$O$5:$O$61)+SUMIF(Urbano_2024!$A$5:$A$53,$A17,Urbano_2024!$O$5:$O$53)</f>
        <v>0</v>
      </c>
      <c r="I17" s="14">
        <f t="shared" si="1"/>
        <v>0</v>
      </c>
      <c r="J17" s="13">
        <f>SUMIF(Rural_2024!$A$5:$A$61,$A17,Rural_2024!$R$5:$R$61)+SUMIF(Urbano_2024!$A$5:$A$53,$A17,Urbano_2024!$R$5:$R$53)</f>
        <v>0</v>
      </c>
      <c r="K17" s="13">
        <f>SUMIF(Rural_2025!$A$5:$A$69,$A17,Rural_2025!$O$5:$O$69)+SUMIF(Urbano_2025!$A$5:$A$53,$A17,Urbano_2025!$O$5:$O$53)</f>
        <v>0</v>
      </c>
      <c r="L17" s="13">
        <f>SUMIF(Rural_2025!$A$5:$A$69,$A17,Rural_2025!$P$5:$P$69)+SUMIF(Urbano_2025!$A$5:$A$53,$A17,Urbano_2025!$P$5:$P$53)</f>
        <v>141295.74</v>
      </c>
      <c r="M17" s="14">
        <f t="shared" si="2"/>
        <v>0</v>
      </c>
      <c r="N17" s="14">
        <f t="shared" si="3"/>
        <v>1</v>
      </c>
      <c r="O17" s="13">
        <f>SUMIF(Rural_2026!$A$5:$A$69,$A17,Rural_2026!$O$5:$O$69)+SUMIF(Urbano_2026!$A$5:$A$53,$A17,Urbano_2026!$O$5:$O$53)</f>
        <v>127166.166</v>
      </c>
      <c r="P17" s="13">
        <f>SUMIF(Rural_2026!$A$5:$A$69,$A17,Rural_2026!$P$5:$P$69)+SUMIF(Urbano_2026!$A$5:$A$53,$A17,Urbano_2026!$P$5:$P$53)</f>
        <v>141295.74</v>
      </c>
      <c r="Q17" s="14">
        <f t="shared" si="4"/>
        <v>0.9</v>
      </c>
      <c r="R17" s="14">
        <f t="shared" si="5"/>
        <v>1</v>
      </c>
      <c r="S17" s="13">
        <f>SUMIF(Rural_2026!$A$5:$A$69,$A17,Rural_2026!$U$5:$U$69)+SUMIF(Urbano_2026!$A$5:$A$53,$A17,Urbano_2026!$U$5:$U$53)</f>
        <v>0</v>
      </c>
      <c r="T17" s="14">
        <f t="shared" si="6"/>
        <v>0</v>
      </c>
      <c r="U17" s="29">
        <f t="shared" si="7"/>
        <v>90</v>
      </c>
    </row>
    <row r="18" spans="1:21" ht="15" customHeight="1" x14ac:dyDescent="0.25">
      <c r="A18" s="8" t="s">
        <v>186</v>
      </c>
      <c r="B18" s="8" t="s">
        <v>187</v>
      </c>
      <c r="C18" s="8" t="s">
        <v>157</v>
      </c>
      <c r="D18" s="8" t="s">
        <v>161</v>
      </c>
      <c r="E18" s="13">
        <f>SUMIF(Rural_2026!$A$5:$A$69,$A18,Rural_2026!$H$5:$H$69)</f>
        <v>4691.49</v>
      </c>
      <c r="F18" s="13">
        <f>SUMIF(Urbano_2026!$A$5:$A$53,$A18,Urbano_2026!$H$5:$H$53)</f>
        <v>194.38</v>
      </c>
      <c r="G18" s="13">
        <f t="shared" si="0"/>
        <v>4885.87</v>
      </c>
      <c r="H18" s="13">
        <f>SUMIF(Rural_2024!$A$5:$A$61,$A18,Rural_2024!$O$5:$O$61)+SUMIF(Urbano_2024!$A$5:$A$53,$A18,Urbano_2024!$O$5:$O$53)</f>
        <v>4397.2830000000004</v>
      </c>
      <c r="I18" s="14">
        <f t="shared" si="1"/>
        <v>0.90000000000000013</v>
      </c>
      <c r="J18" s="13">
        <f>SUMIF(Rural_2024!$A$5:$A$61,$A18,Rural_2024!$R$5:$R$61)+SUMIF(Urbano_2024!$A$5:$A$53,$A18,Urbano_2024!$R$5:$R$53)</f>
        <v>4397.2830000000004</v>
      </c>
      <c r="K18" s="13">
        <f>SUMIF(Rural_2025!$A$5:$A$69,$A18,Rural_2025!$O$5:$O$69)+SUMIF(Urbano_2025!$A$5:$A$53,$A18,Urbano_2025!$O$5:$O$53)</f>
        <v>4885.87</v>
      </c>
      <c r="L18" s="13">
        <f>SUMIF(Rural_2025!$A$5:$A$69,$A18,Rural_2025!$P$5:$P$69)+SUMIF(Urbano_2025!$A$5:$A$53,$A18,Urbano_2025!$P$5:$P$53)</f>
        <v>4885.87</v>
      </c>
      <c r="M18" s="14">
        <f t="shared" si="2"/>
        <v>1</v>
      </c>
      <c r="N18" s="14">
        <f t="shared" si="3"/>
        <v>1</v>
      </c>
      <c r="O18" s="13">
        <f>SUMIF(Rural_2026!$A$5:$A$69,$A18,Rural_2026!$O$5:$O$69)+SUMIF(Urbano_2026!$A$5:$A$53,$A18,Urbano_2026!$O$5:$O$53)</f>
        <v>4885.87</v>
      </c>
      <c r="P18" s="13">
        <f>SUMIF(Rural_2026!$A$5:$A$69,$A18,Rural_2026!$P$5:$P$69)+SUMIF(Urbano_2026!$A$5:$A$53,$A18,Urbano_2026!$P$5:$P$53)</f>
        <v>4885.87</v>
      </c>
      <c r="Q18" s="14">
        <f t="shared" si="4"/>
        <v>1</v>
      </c>
      <c r="R18" s="14">
        <f t="shared" si="5"/>
        <v>1</v>
      </c>
      <c r="S18" s="13">
        <f>SUMIF(Rural_2026!$A$5:$A$69,$A18,Rural_2026!$U$5:$U$69)+SUMIF(Urbano_2026!$A$5:$A$53,$A18,Urbano_2026!$U$5:$U$53)</f>
        <v>4309.8119999999999</v>
      </c>
      <c r="T18" s="14">
        <f t="shared" si="6"/>
        <v>0.88209714953529261</v>
      </c>
      <c r="U18" s="29">
        <f t="shared" si="7"/>
        <v>9.9999999999999858</v>
      </c>
    </row>
    <row r="19" spans="1:21" ht="15" customHeight="1" x14ac:dyDescent="0.25">
      <c r="A19" s="8" t="s">
        <v>220</v>
      </c>
      <c r="B19" s="8" t="s">
        <v>221</v>
      </c>
      <c r="C19" s="8" t="s">
        <v>157</v>
      </c>
      <c r="D19" s="8" t="s">
        <v>161</v>
      </c>
      <c r="E19" s="13">
        <f>SUMIF(Rural_2026!$A$5:$A$69,$A19,Rural_2026!$H$5:$H$69)</f>
        <v>196582</v>
      </c>
      <c r="F19" s="13">
        <f>SUMIF(Urbano_2026!$A$5:$A$53,$A19,Urbano_2026!$H$5:$H$53)</f>
        <v>325.63</v>
      </c>
      <c r="G19" s="13">
        <f t="shared" si="0"/>
        <v>196907.63</v>
      </c>
      <c r="H19" s="13">
        <f>SUMIF(Rural_2024!$A$5:$A$61,$A19,Rural_2024!$O$5:$O$61)+SUMIF(Urbano_2024!$A$5:$A$53,$A19,Urbano_2024!$O$5:$O$53)</f>
        <v>146.5335</v>
      </c>
      <c r="I19" s="14">
        <f t="shared" si="1"/>
        <v>7.4417380372715882E-4</v>
      </c>
      <c r="J19" s="13">
        <f>SUMIF(Rural_2024!$A$5:$A$61,$A19,Rural_2024!$R$5:$R$61)+SUMIF(Urbano_2024!$A$5:$A$53,$A19,Urbano_2024!$R$5:$R$53)</f>
        <v>131.65633423180591</v>
      </c>
      <c r="K19" s="13">
        <f>SUMIF(Rural_2025!$A$5:$A$69,$A19,Rural_2025!$O$5:$O$69)+SUMIF(Urbano_2025!$A$5:$A$53,$A19,Urbano_2025!$O$5:$O$53)</f>
        <v>325.63</v>
      </c>
      <c r="L19" s="13">
        <f>SUMIF(Rural_2025!$A$5:$A$69,$A19,Rural_2025!$P$5:$P$69)+SUMIF(Urbano_2025!$A$5:$A$53,$A19,Urbano_2025!$P$5:$P$53)</f>
        <v>177249.43000000002</v>
      </c>
      <c r="M19" s="14">
        <f t="shared" si="2"/>
        <v>1.6537195638381306E-3</v>
      </c>
      <c r="N19" s="14">
        <f t="shared" si="3"/>
        <v>0.90016537195638391</v>
      </c>
      <c r="O19" s="13">
        <f>SUMIF(Rural_2026!$A$5:$A$69,$A19,Rural_2026!$O$5:$O$69)+SUMIF(Urbano_2026!$A$5:$A$53,$A19,Urbano_2026!$O$5:$O$53)</f>
        <v>325.63</v>
      </c>
      <c r="P19" s="13">
        <f>SUMIF(Rural_2026!$A$5:$A$69,$A19,Rural_2026!$P$5:$P$69)+SUMIF(Urbano_2026!$A$5:$A$53,$A19,Urbano_2026!$P$5:$P$53)</f>
        <v>196907.63</v>
      </c>
      <c r="Q19" s="14">
        <f t="shared" si="4"/>
        <v>1.6537195638381306E-3</v>
      </c>
      <c r="R19" s="14">
        <f t="shared" si="5"/>
        <v>1</v>
      </c>
      <c r="S19" s="13">
        <f>SUMIF(Rural_2026!$A$5:$A$69,$A19,Rural_2026!$U$5:$U$69)+SUMIF(Urbano_2026!$A$5:$A$53,$A19,Urbano_2026!$U$5:$U$53)</f>
        <v>325.63</v>
      </c>
      <c r="T19" s="14">
        <f t="shared" si="6"/>
        <v>1.6537195638381306E-3</v>
      </c>
      <c r="U19" s="29">
        <f t="shared" si="7"/>
        <v>9.0954576011097174E-2</v>
      </c>
    </row>
    <row r="20" spans="1:21" ht="15" customHeight="1" x14ac:dyDescent="0.25">
      <c r="A20" s="8" t="s">
        <v>232</v>
      </c>
      <c r="B20" s="8" t="s">
        <v>233</v>
      </c>
      <c r="C20" s="8" t="s">
        <v>157</v>
      </c>
      <c r="D20" s="8" t="s">
        <v>161</v>
      </c>
      <c r="E20" s="13">
        <f>SUMIF(Rural_2026!$A$5:$A$69,$A20,Rural_2026!$H$5:$H$69)</f>
        <v>42700.2</v>
      </c>
      <c r="F20" s="13">
        <f>SUMIF(Urbano_2026!$A$5:$A$53,$A20,Urbano_2026!$H$5:$H$53)</f>
        <v>83.18</v>
      </c>
      <c r="G20" s="13">
        <f t="shared" si="0"/>
        <v>42783.38</v>
      </c>
      <c r="H20" s="13">
        <f>SUMIF(Rural_2024!$A$5:$A$61,$A20,Rural_2024!$O$5:$O$61)+SUMIF(Urbano_2024!$A$5:$A$53,$A20,Urbano_2024!$O$5:$O$53)</f>
        <v>19252.521000000001</v>
      </c>
      <c r="I20" s="14">
        <f t="shared" si="1"/>
        <v>0.45000000000000007</v>
      </c>
      <c r="J20" s="13">
        <f>SUMIF(Rural_2024!$A$5:$A$61,$A20,Rural_2024!$R$5:$R$61)+SUMIF(Urbano_2024!$A$5:$A$53,$A20,Urbano_2024!$R$5:$R$53)</f>
        <v>14705.322326143223</v>
      </c>
      <c r="K20" s="13">
        <f>SUMIF(Rural_2025!$A$5:$A$69,$A20,Rural_2025!$O$5:$O$69)+SUMIF(Urbano_2025!$A$5:$A$53,$A20,Urbano_2025!$O$5:$O$53)</f>
        <v>42783.38</v>
      </c>
      <c r="L20" s="13">
        <f>SUMIF(Rural_2025!$A$5:$A$69,$A20,Rural_2025!$P$5:$P$69)+SUMIF(Urbano_2025!$A$5:$A$53,$A20,Urbano_2025!$P$5:$P$53)</f>
        <v>38513.360000000001</v>
      </c>
      <c r="M20" s="14">
        <f t="shared" si="2"/>
        <v>1</v>
      </c>
      <c r="N20" s="14">
        <f t="shared" si="3"/>
        <v>0.90019442129163252</v>
      </c>
      <c r="O20" s="13">
        <f>SUMIF(Rural_2026!$A$5:$A$69,$A20,Rural_2026!$O$5:$O$69)+SUMIF(Urbano_2026!$A$5:$A$53,$A20,Urbano_2026!$O$5:$O$53)</f>
        <v>42783.38</v>
      </c>
      <c r="P20" s="13">
        <f>SUMIF(Rural_2026!$A$5:$A$69,$A20,Rural_2026!$P$5:$P$69)+SUMIF(Urbano_2026!$A$5:$A$53,$A20,Urbano_2026!$P$5:$P$53)</f>
        <v>42783.38</v>
      </c>
      <c r="Q20" s="14">
        <f t="shared" si="4"/>
        <v>1</v>
      </c>
      <c r="R20" s="14">
        <f t="shared" si="5"/>
        <v>1</v>
      </c>
      <c r="S20" s="13">
        <f>SUMIF(Rural_2026!$A$5:$A$69,$A20,Rural_2026!$U$5:$U$69)+SUMIF(Urbano_2026!$A$5:$A$53,$A20,Urbano_2026!$U$5:$U$53)</f>
        <v>37.431000000000004</v>
      </c>
      <c r="T20" s="14">
        <f t="shared" si="6"/>
        <v>8.7489581234582233E-4</v>
      </c>
      <c r="U20" s="29">
        <f t="shared" si="7"/>
        <v>54.999999999999993</v>
      </c>
    </row>
    <row r="21" spans="1:21" ht="15" customHeight="1" x14ac:dyDescent="0.25">
      <c r="A21" s="8" t="s">
        <v>236</v>
      </c>
      <c r="B21" s="8" t="s">
        <v>237</v>
      </c>
      <c r="C21" s="8" t="s">
        <v>157</v>
      </c>
      <c r="D21" s="8" t="s">
        <v>161</v>
      </c>
      <c r="E21" s="13">
        <f>SUMIF(Rural_2026!$A$5:$A$69,$A21,Rural_2026!$H$5:$H$69)</f>
        <v>26674</v>
      </c>
      <c r="F21" s="13">
        <f>SUMIF(Urbano_2026!$A$5:$A$53,$A21,Urbano_2026!$H$5:$H$53)</f>
        <v>98.8</v>
      </c>
      <c r="G21" s="13">
        <f t="shared" si="0"/>
        <v>26772.799999999999</v>
      </c>
      <c r="H21" s="13">
        <f>SUMIF(Rural_2024!$A$5:$A$61,$A21,Rural_2024!$O$5:$O$61)+SUMIF(Urbano_2024!$A$5:$A$53,$A21,Urbano_2024!$O$5:$O$53)</f>
        <v>0</v>
      </c>
      <c r="I21" s="14">
        <f t="shared" si="1"/>
        <v>0</v>
      </c>
      <c r="J21" s="13">
        <f>SUMIF(Rural_2024!$A$5:$A$61,$A21,Rural_2024!$R$5:$R$61)+SUMIF(Urbano_2024!$A$5:$A$53,$A21,Urbano_2024!$R$5:$R$53)</f>
        <v>0</v>
      </c>
      <c r="K21" s="13">
        <f>SUMIF(Rural_2025!$A$5:$A$69,$A21,Rural_2025!$O$5:$O$69)+SUMIF(Urbano_2025!$A$5:$A$53,$A21,Urbano_2025!$O$5:$O$53)</f>
        <v>24105.4</v>
      </c>
      <c r="L21" s="13">
        <f>SUMIF(Rural_2025!$A$5:$A$69,$A21,Rural_2025!$P$5:$P$69)+SUMIF(Urbano_2025!$A$5:$A$53,$A21,Urbano_2025!$P$5:$P$53)</f>
        <v>24105.4</v>
      </c>
      <c r="M21" s="14">
        <f t="shared" si="2"/>
        <v>0.90036903125560275</v>
      </c>
      <c r="N21" s="14">
        <f t="shared" si="3"/>
        <v>0.90036903125560275</v>
      </c>
      <c r="O21" s="13">
        <f>SUMIF(Rural_2026!$A$5:$A$69,$A21,Rural_2026!$O$5:$O$69)+SUMIF(Urbano_2026!$A$5:$A$53,$A21,Urbano_2026!$O$5:$O$53)</f>
        <v>26772.799999999999</v>
      </c>
      <c r="P21" s="13">
        <f>SUMIF(Rural_2026!$A$5:$A$69,$A21,Rural_2026!$P$5:$P$69)+SUMIF(Urbano_2026!$A$5:$A$53,$A21,Urbano_2026!$P$5:$P$53)</f>
        <v>26772.799999999999</v>
      </c>
      <c r="Q21" s="14">
        <f t="shared" si="4"/>
        <v>1</v>
      </c>
      <c r="R21" s="14">
        <f t="shared" si="5"/>
        <v>1</v>
      </c>
      <c r="S21" s="13">
        <f>SUMIF(Rural_2026!$A$5:$A$69,$A21,Rural_2026!$U$5:$U$69)+SUMIF(Urbano_2026!$A$5:$A$53,$A21,Urbano_2026!$U$5:$U$53)</f>
        <v>88.92</v>
      </c>
      <c r="T21" s="14">
        <f t="shared" si="6"/>
        <v>3.3212813004243114E-3</v>
      </c>
      <c r="U21" s="29">
        <f t="shared" si="7"/>
        <v>100</v>
      </c>
    </row>
    <row r="22" spans="1:21" ht="15" customHeight="1" x14ac:dyDescent="0.25">
      <c r="A22" s="8" t="s">
        <v>258</v>
      </c>
      <c r="B22" s="8" t="s">
        <v>259</v>
      </c>
      <c r="C22" s="8" t="s">
        <v>157</v>
      </c>
      <c r="D22" s="8" t="s">
        <v>260</v>
      </c>
      <c r="E22" s="13">
        <f>SUMIF(Rural_2026!$A$5:$A$69,$A22,Rural_2026!$H$5:$H$69)</f>
        <v>0</v>
      </c>
      <c r="F22" s="13">
        <f>SUMIF(Urbano_2026!$A$5:$A$53,$A22,Urbano_2026!$H$5:$H$53)</f>
        <v>374.4</v>
      </c>
      <c r="G22" s="13">
        <f t="shared" si="0"/>
        <v>374.4</v>
      </c>
      <c r="H22" s="13">
        <f>SUMIF(Rural_2024!$A$5:$A$61,$A22,Rural_2024!$O$5:$O$61)+SUMIF(Urbano_2024!$A$5:$A$53,$A22,Urbano_2024!$O$5:$O$53)</f>
        <v>0</v>
      </c>
      <c r="I22" s="14">
        <f t="shared" si="1"/>
        <v>0</v>
      </c>
      <c r="J22" s="13">
        <f>SUMIF(Rural_2024!$A$5:$A$61,$A22,Rural_2024!$R$5:$R$61)+SUMIF(Urbano_2024!$A$5:$A$53,$A22,Urbano_2024!$R$5:$R$53)</f>
        <v>0</v>
      </c>
      <c r="K22" s="13">
        <f>SUMIF(Rural_2025!$A$5:$A$69,$A22,Rural_2025!$O$5:$O$69)+SUMIF(Urbano_2025!$A$5:$A$53,$A22,Urbano_2025!$O$5:$O$53)</f>
        <v>374.4</v>
      </c>
      <c r="L22" s="13">
        <f>SUMIF(Rural_2025!$A$5:$A$69,$A22,Rural_2025!$P$5:$P$69)+SUMIF(Urbano_2025!$A$5:$A$53,$A22,Urbano_2025!$P$5:$P$53)</f>
        <v>374.4</v>
      </c>
      <c r="M22" s="14">
        <f t="shared" si="2"/>
        <v>1</v>
      </c>
      <c r="N22" s="14">
        <f t="shared" si="3"/>
        <v>1</v>
      </c>
      <c r="O22" s="13">
        <f>SUMIF(Rural_2026!$A$5:$A$69,$A22,Rural_2026!$O$5:$O$69)+SUMIF(Urbano_2026!$A$5:$A$53,$A22,Urbano_2026!$O$5:$O$53)</f>
        <v>374.4</v>
      </c>
      <c r="P22" s="13">
        <f>SUMIF(Rural_2026!$A$5:$A$69,$A22,Rural_2026!$P$5:$P$69)+SUMIF(Urbano_2026!$A$5:$A$53,$A22,Urbano_2026!$P$5:$P$53)</f>
        <v>374.4</v>
      </c>
      <c r="Q22" s="14">
        <f t="shared" si="4"/>
        <v>1</v>
      </c>
      <c r="R22" s="14">
        <f t="shared" si="5"/>
        <v>1</v>
      </c>
      <c r="S22" s="13">
        <f>SUMIF(Rural_2026!$A$5:$A$69,$A22,Rural_2026!$U$5:$U$69)+SUMIF(Urbano_2026!$A$5:$A$53,$A22,Urbano_2026!$U$5:$U$53)</f>
        <v>205.92000000000002</v>
      </c>
      <c r="T22" s="14">
        <f t="shared" si="6"/>
        <v>0.55000000000000004</v>
      </c>
      <c r="U22" s="29">
        <f t="shared" si="7"/>
        <v>100</v>
      </c>
    </row>
    <row r="23" spans="1:21" ht="15" customHeight="1" x14ac:dyDescent="0.25">
      <c r="A23" s="8" t="s">
        <v>323</v>
      </c>
      <c r="B23" s="8" t="s">
        <v>324</v>
      </c>
      <c r="C23" s="8" t="s">
        <v>157</v>
      </c>
      <c r="D23" s="8" t="s">
        <v>318</v>
      </c>
      <c r="E23" s="13">
        <f>SUMIF(Rural_2026!$A$5:$A$69,$A23,Rural_2026!$H$5:$H$69)</f>
        <v>54029.88</v>
      </c>
      <c r="F23" s="13">
        <f>SUMIF(Urbano_2026!$A$5:$A$53,$A23,Urbano_2026!$H$5:$H$53)</f>
        <v>0</v>
      </c>
      <c r="G23" s="13">
        <f t="shared" si="0"/>
        <v>54029.88</v>
      </c>
      <c r="H23" s="13">
        <f>SUMIF(Rural_2024!$A$5:$A$61,$A23,Rural_2024!$O$5:$O$61)+SUMIF(Urbano_2024!$A$5:$A$53,$A23,Urbano_2024!$O$5:$O$53)</f>
        <v>0</v>
      </c>
      <c r="I23" s="14">
        <f t="shared" si="1"/>
        <v>0</v>
      </c>
      <c r="J23" s="13">
        <f>SUMIF(Rural_2024!$A$5:$A$61,$A23,Rural_2024!$R$5:$R$61)+SUMIF(Urbano_2024!$A$5:$A$53,$A23,Urbano_2024!$R$5:$R$53)</f>
        <v>0</v>
      </c>
      <c r="K23" s="13">
        <f>SUMIF(Rural_2025!$A$5:$A$69,$A23,Rural_2025!$O$5:$O$69)+SUMIF(Urbano_2025!$A$5:$A$53,$A23,Urbano_2025!$O$5:$O$53)</f>
        <v>48626.892</v>
      </c>
      <c r="L23" s="13">
        <f>SUMIF(Rural_2025!$A$5:$A$69,$A23,Rural_2025!$P$5:$P$69)+SUMIF(Urbano_2025!$A$5:$A$53,$A23,Urbano_2025!$P$5:$P$53)</f>
        <v>48626.892</v>
      </c>
      <c r="M23" s="14">
        <f t="shared" si="2"/>
        <v>0.9</v>
      </c>
      <c r="N23" s="14">
        <f t="shared" si="3"/>
        <v>0.9</v>
      </c>
      <c r="O23" s="13">
        <f>SUMIF(Rural_2026!$A$5:$A$69,$A23,Rural_2026!$O$5:$O$69)+SUMIF(Urbano_2026!$A$5:$A$53,$A23,Urbano_2026!$O$5:$O$53)</f>
        <v>54029.88</v>
      </c>
      <c r="P23" s="13">
        <f>SUMIF(Rural_2026!$A$5:$A$69,$A23,Rural_2026!$P$5:$P$69)+SUMIF(Urbano_2026!$A$5:$A$53,$A23,Urbano_2026!$P$5:$P$53)</f>
        <v>54029.88</v>
      </c>
      <c r="Q23" s="14">
        <f t="shared" si="4"/>
        <v>1</v>
      </c>
      <c r="R23" s="14">
        <f t="shared" si="5"/>
        <v>1</v>
      </c>
      <c r="S23" s="13">
        <f>SUMIF(Rural_2026!$A$5:$A$69,$A23,Rural_2026!$U$5:$U$69)+SUMIF(Urbano_2026!$A$5:$A$53,$A23,Urbano_2026!$U$5:$U$53)</f>
        <v>0</v>
      </c>
      <c r="T23" s="14">
        <f t="shared" si="6"/>
        <v>0</v>
      </c>
      <c r="U23" s="29">
        <f t="shared" si="7"/>
        <v>100</v>
      </c>
    </row>
    <row r="24" spans="1:21" ht="15" customHeight="1" x14ac:dyDescent="0.25">
      <c r="A24" s="8" t="s">
        <v>261</v>
      </c>
      <c r="B24" s="8" t="s">
        <v>262</v>
      </c>
      <c r="C24" s="8" t="s">
        <v>157</v>
      </c>
      <c r="D24" s="8" t="s">
        <v>158</v>
      </c>
      <c r="E24" s="13">
        <f>SUMIF(Rural_2026!$A$5:$A$69,$A24,Rural_2026!$H$5:$H$69)</f>
        <v>44055.519999999997</v>
      </c>
      <c r="F24" s="13">
        <f>SUMIF(Urbano_2026!$A$5:$A$53,$A24,Urbano_2026!$H$5:$H$53)</f>
        <v>106.6</v>
      </c>
      <c r="G24" s="13">
        <f t="shared" si="0"/>
        <v>44162.119999999995</v>
      </c>
      <c r="H24" s="13">
        <f>SUMIF(Rural_2024!$A$5:$A$61,$A24,Rural_2024!$O$5:$O$61)+SUMIF(Urbano_2024!$A$5:$A$53,$A24,Urbano_2024!$O$5:$O$53)</f>
        <v>0</v>
      </c>
      <c r="I24" s="14">
        <f t="shared" si="1"/>
        <v>0</v>
      </c>
      <c r="J24" s="13">
        <f>SUMIF(Rural_2024!$A$5:$A$61,$A24,Rural_2024!$R$5:$R$61)+SUMIF(Urbano_2024!$A$5:$A$53,$A24,Urbano_2024!$R$5:$R$53)</f>
        <v>0</v>
      </c>
      <c r="K24" s="13">
        <f>SUMIF(Rural_2025!$A$5:$A$69,$A24,Rural_2025!$O$5:$O$69)+SUMIF(Urbano_2025!$A$5:$A$53,$A24,Urbano_2025!$O$5:$O$53)</f>
        <v>39756.567999999999</v>
      </c>
      <c r="L24" s="13">
        <f>SUMIF(Rural_2025!$A$5:$A$69,$A24,Rural_2025!$P$5:$P$69)+SUMIF(Urbano_2025!$A$5:$A$53,$A24,Urbano_2025!$P$5:$P$53)</f>
        <v>39756.567999999999</v>
      </c>
      <c r="M24" s="14">
        <f t="shared" si="2"/>
        <v>0.90024138333938686</v>
      </c>
      <c r="N24" s="14">
        <f t="shared" si="3"/>
        <v>0.90024138333938686</v>
      </c>
      <c r="O24" s="13">
        <f>SUMIF(Rural_2026!$A$5:$A$69,$A24,Rural_2026!$O$5:$O$69)+SUMIF(Urbano_2026!$A$5:$A$53,$A24,Urbano_2026!$O$5:$O$53)</f>
        <v>44162.119999999995</v>
      </c>
      <c r="P24" s="13">
        <f>SUMIF(Rural_2026!$A$5:$A$69,$A24,Rural_2026!$P$5:$P$69)+SUMIF(Urbano_2026!$A$5:$A$53,$A24,Urbano_2026!$P$5:$P$53)</f>
        <v>44162.119999999995</v>
      </c>
      <c r="Q24" s="14">
        <f t="shared" si="4"/>
        <v>1</v>
      </c>
      <c r="R24" s="14">
        <f t="shared" si="5"/>
        <v>1</v>
      </c>
      <c r="S24" s="13">
        <f>SUMIF(Rural_2026!$A$5:$A$69,$A24,Rural_2026!$U$5:$U$69)+SUMIF(Urbano_2026!$A$5:$A$53,$A24,Urbano_2026!$U$5:$U$53)</f>
        <v>0</v>
      </c>
      <c r="T24" s="14">
        <f t="shared" si="6"/>
        <v>0</v>
      </c>
      <c r="U24" s="29">
        <f t="shared" si="7"/>
        <v>100</v>
      </c>
    </row>
    <row r="25" spans="1:21" ht="15" customHeight="1" x14ac:dyDescent="0.25">
      <c r="A25" s="8" t="s">
        <v>155</v>
      </c>
      <c r="B25" s="8" t="s">
        <v>156</v>
      </c>
      <c r="C25" s="8" t="s">
        <v>157</v>
      </c>
      <c r="D25" s="8" t="s">
        <v>158</v>
      </c>
      <c r="E25" s="13">
        <f>SUMIF(Rural_2026!$A$5:$A$69,$A25,Rural_2026!$H$5:$H$69)</f>
        <v>94340</v>
      </c>
      <c r="F25" s="13">
        <f>SUMIF(Urbano_2026!$A$5:$A$53,$A25,Urbano_2026!$H$5:$H$53)</f>
        <v>263.89999999999998</v>
      </c>
      <c r="G25" s="13">
        <f t="shared" si="0"/>
        <v>94603.9</v>
      </c>
      <c r="H25" s="13">
        <f>SUMIF(Rural_2024!$A$5:$A$61,$A25,Rural_2024!$O$5:$O$61)+SUMIF(Urbano_2024!$A$5:$A$53,$A25,Urbano_2024!$O$5:$O$53)</f>
        <v>0</v>
      </c>
      <c r="I25" s="14">
        <f t="shared" si="1"/>
        <v>0</v>
      </c>
      <c r="J25" s="13">
        <f>SUMIF(Rural_2024!$A$5:$A$61,$A25,Rural_2024!$R$5:$R$61)+SUMIF(Urbano_2024!$A$5:$A$53,$A25,Urbano_2024!$R$5:$R$53)</f>
        <v>0</v>
      </c>
      <c r="K25" s="13">
        <f>SUMIF(Rural_2025!$A$5:$A$69,$A25,Rural_2025!$O$5:$O$69)+SUMIF(Urbano_2025!$A$5:$A$53,$A25,Urbano_2025!$O$5:$O$53)</f>
        <v>263.89999999999998</v>
      </c>
      <c r="L25" s="13">
        <f>SUMIF(Rural_2025!$A$5:$A$69,$A25,Rural_2025!$P$5:$P$69)+SUMIF(Urbano_2025!$A$5:$A$53,$A25,Urbano_2025!$P$5:$P$53)</f>
        <v>85169.9</v>
      </c>
      <c r="M25" s="14">
        <f t="shared" si="2"/>
        <v>2.7895255903826375E-3</v>
      </c>
      <c r="N25" s="14">
        <f t="shared" si="3"/>
        <v>0.90027895255903823</v>
      </c>
      <c r="O25" s="13">
        <f>SUMIF(Rural_2026!$A$5:$A$69,$A25,Rural_2026!$O$5:$O$69)+SUMIF(Urbano_2026!$A$5:$A$53,$A25,Urbano_2026!$O$5:$O$53)</f>
        <v>94603.9</v>
      </c>
      <c r="P25" s="13">
        <f>SUMIF(Rural_2026!$A$5:$A$69,$A25,Rural_2026!$P$5:$P$69)+SUMIF(Urbano_2026!$A$5:$A$53,$A25,Urbano_2026!$P$5:$P$53)</f>
        <v>94603.9</v>
      </c>
      <c r="Q25" s="14">
        <f t="shared" si="4"/>
        <v>1</v>
      </c>
      <c r="R25" s="14">
        <f t="shared" si="5"/>
        <v>1</v>
      </c>
      <c r="S25" s="13">
        <f>SUMIF(Rural_2026!$A$5:$A$69,$A25,Rural_2026!$U$5:$U$69)+SUMIF(Urbano_2026!$A$5:$A$53,$A25,Urbano_2026!$U$5:$U$53)</f>
        <v>118.755</v>
      </c>
      <c r="T25" s="14">
        <f t="shared" si="6"/>
        <v>1.2552865156721868E-3</v>
      </c>
      <c r="U25" s="29">
        <f t="shared" si="7"/>
        <v>100</v>
      </c>
    </row>
    <row r="26" spans="1:21" ht="15" customHeight="1" x14ac:dyDescent="0.25">
      <c r="A26" s="8" t="s">
        <v>263</v>
      </c>
      <c r="B26" s="8" t="s">
        <v>264</v>
      </c>
      <c r="C26" s="8" t="s">
        <v>138</v>
      </c>
      <c r="D26" s="8" t="s">
        <v>161</v>
      </c>
      <c r="E26" s="13">
        <f>SUMIF(Rural_2026!$A$5:$A$69,$A26,Rural_2026!$H$5:$H$69)</f>
        <v>33835.449999999997</v>
      </c>
      <c r="F26" s="13">
        <f>SUMIF(Urbano_2026!$A$5:$A$53,$A26,Urbano_2026!$H$5:$H$53)</f>
        <v>62.56</v>
      </c>
      <c r="G26" s="13">
        <f t="shared" si="0"/>
        <v>33898.009999999995</v>
      </c>
      <c r="H26" s="13">
        <f>SUMIF(Rural_2024!$A$5:$A$61,$A26,Rural_2024!$O$5:$O$61)+SUMIF(Urbano_2024!$A$5:$A$53,$A26,Urbano_2024!$O$5:$O$53)</f>
        <v>56.304000000000002</v>
      </c>
      <c r="I26" s="14">
        <f t="shared" si="1"/>
        <v>1.6609824588523045E-3</v>
      </c>
      <c r="J26" s="13">
        <f>SUMIF(Rural_2024!$A$5:$A$61,$A26,Rural_2024!$R$5:$R$61)+SUMIF(Urbano_2024!$A$5:$A$53,$A26,Urbano_2024!$R$5:$R$53)</f>
        <v>50.224225352112676</v>
      </c>
      <c r="K26" s="13">
        <f>SUMIF(Rural_2025!$A$5:$A$69,$A26,Rural_2025!$O$5:$O$69)+SUMIF(Urbano_2025!$A$5:$A$53,$A26,Urbano_2025!$O$5:$O$53)</f>
        <v>33898.009999999995</v>
      </c>
      <c r="L26" s="13">
        <f>SUMIF(Rural_2025!$A$5:$A$69,$A26,Rural_2025!$P$5:$P$69)+SUMIF(Urbano_2025!$A$5:$A$53,$A26,Urbano_2025!$P$5:$P$53)</f>
        <v>30514.465</v>
      </c>
      <c r="M26" s="14">
        <f t="shared" si="2"/>
        <v>1</v>
      </c>
      <c r="N26" s="14">
        <f t="shared" si="3"/>
        <v>0.90018455360653926</v>
      </c>
      <c r="O26" s="13">
        <f>SUMIF(Rural_2026!$A$5:$A$69,$A26,Rural_2026!$O$5:$O$69)+SUMIF(Urbano_2026!$A$5:$A$53,$A26,Urbano_2026!$O$5:$O$53)</f>
        <v>33898.009999999995</v>
      </c>
      <c r="P26" s="13">
        <f>SUMIF(Rural_2026!$A$5:$A$69,$A26,Rural_2026!$P$5:$P$69)+SUMIF(Urbano_2026!$A$5:$A$53,$A26,Urbano_2026!$P$5:$P$53)</f>
        <v>33898.009999999995</v>
      </c>
      <c r="Q26" s="14">
        <f t="shared" si="4"/>
        <v>1</v>
      </c>
      <c r="R26" s="14">
        <f t="shared" si="5"/>
        <v>1</v>
      </c>
      <c r="S26" s="13">
        <f>SUMIF(Rural_2026!$A$5:$A$69,$A26,Rural_2026!$U$5:$U$69)+SUMIF(Urbano_2026!$A$5:$A$53,$A26,Urbano_2026!$U$5:$U$53)</f>
        <v>62.56</v>
      </c>
      <c r="T26" s="14">
        <f t="shared" si="6"/>
        <v>1.8455360653914497E-3</v>
      </c>
      <c r="U26" s="29">
        <f t="shared" si="7"/>
        <v>99.833901754114777</v>
      </c>
    </row>
    <row r="27" spans="1:21" ht="15" customHeight="1" x14ac:dyDescent="0.25">
      <c r="A27" s="8" t="s">
        <v>167</v>
      </c>
      <c r="B27" s="8" t="s">
        <v>168</v>
      </c>
      <c r="C27" s="8" t="s">
        <v>138</v>
      </c>
      <c r="D27" s="8" t="s">
        <v>161</v>
      </c>
      <c r="E27" s="13">
        <f>SUMIF(Rural_2026!$A$5:$A$69,$A27,Rural_2026!$H$5:$H$69)</f>
        <v>30466</v>
      </c>
      <c r="F27" s="13">
        <f>SUMIF(Urbano_2026!$A$5:$A$53,$A27,Urbano_2026!$H$5:$H$53)</f>
        <v>96.5</v>
      </c>
      <c r="G27" s="13">
        <f t="shared" si="0"/>
        <v>30562.5</v>
      </c>
      <c r="H27" s="13">
        <f>SUMIF(Rural_2024!$A$5:$A$61,$A27,Rural_2024!$O$5:$O$61)+SUMIF(Urbano_2024!$A$5:$A$53,$A27,Urbano_2024!$O$5:$O$53)</f>
        <v>86.850000000000009</v>
      </c>
      <c r="I27" s="14">
        <f t="shared" si="1"/>
        <v>2.8417177914110432E-3</v>
      </c>
      <c r="J27" s="13">
        <f>SUMIF(Rural_2024!$A$5:$A$61,$A27,Rural_2024!$R$5:$R$61)+SUMIF(Urbano_2024!$A$5:$A$53,$A27,Urbano_2024!$R$5:$R$53)</f>
        <v>86.850000000000009</v>
      </c>
      <c r="K27" s="13">
        <f>SUMIF(Rural_2025!$A$5:$A$69,$A27,Rural_2025!$O$5:$O$69)+SUMIF(Urbano_2025!$A$5:$A$53,$A27,Urbano_2025!$O$5:$O$53)</f>
        <v>27515.9</v>
      </c>
      <c r="L27" s="13">
        <f>SUMIF(Rural_2025!$A$5:$A$69,$A27,Rural_2025!$P$5:$P$69)+SUMIF(Urbano_2025!$A$5:$A$53,$A27,Urbano_2025!$P$5:$P$53)</f>
        <v>27515.9</v>
      </c>
      <c r="M27" s="14">
        <f t="shared" si="2"/>
        <v>0.90031574642126799</v>
      </c>
      <c r="N27" s="14">
        <f t="shared" si="3"/>
        <v>0.90031574642126799</v>
      </c>
      <c r="O27" s="13">
        <f>SUMIF(Rural_2026!$A$5:$A$69,$A27,Rural_2026!$O$5:$O$69)+SUMIF(Urbano_2026!$A$5:$A$53,$A27,Urbano_2026!$O$5:$O$53)</f>
        <v>30562.5</v>
      </c>
      <c r="P27" s="13">
        <f>SUMIF(Rural_2026!$A$5:$A$69,$A27,Rural_2026!$P$5:$P$69)+SUMIF(Urbano_2026!$A$5:$A$53,$A27,Urbano_2026!$P$5:$P$53)</f>
        <v>30562.5</v>
      </c>
      <c r="Q27" s="14">
        <f t="shared" si="4"/>
        <v>1</v>
      </c>
      <c r="R27" s="14">
        <f t="shared" si="5"/>
        <v>1</v>
      </c>
      <c r="S27" s="13">
        <f>SUMIF(Rural_2026!$A$5:$A$69,$A27,Rural_2026!$U$5:$U$69)+SUMIF(Urbano_2026!$A$5:$A$53,$A27,Urbano_2026!$U$5:$U$53)</f>
        <v>43.425000000000004</v>
      </c>
      <c r="T27" s="14">
        <f t="shared" si="6"/>
        <v>1.4208588957055216E-3</v>
      </c>
      <c r="U27" s="29">
        <f t="shared" si="7"/>
        <v>99.715828220858896</v>
      </c>
    </row>
    <row r="28" spans="1:21" ht="15" customHeight="1" x14ac:dyDescent="0.25">
      <c r="A28" s="8" t="s">
        <v>169</v>
      </c>
      <c r="B28" s="8" t="s">
        <v>170</v>
      </c>
      <c r="C28" s="8" t="s">
        <v>138</v>
      </c>
      <c r="D28" s="8" t="s">
        <v>161</v>
      </c>
      <c r="E28" s="13">
        <f>SUMIF(Rural_2026!$A$5:$A$69,$A28,Rural_2026!$H$5:$H$69)</f>
        <v>37624</v>
      </c>
      <c r="F28" s="13">
        <f>SUMIF(Urbano_2026!$A$5:$A$53,$A28,Urbano_2026!$H$5:$H$53)</f>
        <v>0</v>
      </c>
      <c r="G28" s="13">
        <f t="shared" si="0"/>
        <v>37624</v>
      </c>
      <c r="H28" s="13">
        <f>SUMIF(Rural_2024!$A$5:$A$61,$A28,Rural_2024!$O$5:$O$61)+SUMIF(Urbano_2024!$A$5:$A$53,$A28,Urbano_2024!$O$5:$O$53)</f>
        <v>0</v>
      </c>
      <c r="I28" s="14">
        <f t="shared" si="1"/>
        <v>0</v>
      </c>
      <c r="J28" s="13">
        <f>SUMIF(Rural_2024!$A$5:$A$61,$A28,Rural_2024!$R$5:$R$61)+SUMIF(Urbano_2024!$A$5:$A$53,$A28,Urbano_2024!$R$5:$R$53)</f>
        <v>0</v>
      </c>
      <c r="K28" s="13">
        <f>SUMIF(Rural_2025!$A$5:$A$69,$A28,Rural_2025!$O$5:$O$69)+SUMIF(Urbano_2025!$A$5:$A$53,$A28,Urbano_2025!$O$5:$O$53)</f>
        <v>37624</v>
      </c>
      <c r="L28" s="13">
        <f>SUMIF(Rural_2025!$A$5:$A$69,$A28,Rural_2025!$P$5:$P$69)+SUMIF(Urbano_2025!$A$5:$A$53,$A28,Urbano_2025!$P$5:$P$53)</f>
        <v>33861.599999999999</v>
      </c>
      <c r="M28" s="14">
        <f t="shared" si="2"/>
        <v>1</v>
      </c>
      <c r="N28" s="14">
        <f t="shared" si="3"/>
        <v>0.89999999999999991</v>
      </c>
      <c r="O28" s="13">
        <f>SUMIF(Rural_2026!$A$5:$A$69,$A28,Rural_2026!$O$5:$O$69)+SUMIF(Urbano_2026!$A$5:$A$53,$A28,Urbano_2026!$O$5:$O$53)</f>
        <v>37624</v>
      </c>
      <c r="P28" s="13">
        <f>SUMIF(Rural_2026!$A$5:$A$69,$A28,Rural_2026!$P$5:$P$69)+SUMIF(Urbano_2026!$A$5:$A$53,$A28,Urbano_2026!$P$5:$P$53)</f>
        <v>37624</v>
      </c>
      <c r="Q28" s="14">
        <f t="shared" si="4"/>
        <v>1</v>
      </c>
      <c r="R28" s="14">
        <f t="shared" si="5"/>
        <v>1</v>
      </c>
      <c r="S28" s="13">
        <f>SUMIF(Rural_2026!$A$5:$A$69,$A28,Rural_2026!$U$5:$U$69)+SUMIF(Urbano_2026!$A$5:$A$53,$A28,Urbano_2026!$U$5:$U$53)</f>
        <v>0</v>
      </c>
      <c r="T28" s="14">
        <f t="shared" si="6"/>
        <v>0</v>
      </c>
      <c r="U28" s="29">
        <f t="shared" si="7"/>
        <v>100</v>
      </c>
    </row>
    <row r="29" spans="1:21" ht="15" customHeight="1" x14ac:dyDescent="0.25">
      <c r="A29" s="8" t="s">
        <v>173</v>
      </c>
      <c r="B29" s="8" t="s">
        <v>174</v>
      </c>
      <c r="C29" s="8" t="s">
        <v>138</v>
      </c>
      <c r="D29" s="8" t="s">
        <v>161</v>
      </c>
      <c r="E29" s="13">
        <f>SUMIF(Rural_2026!$A$5:$A$69,$A29,Rural_2026!$H$5:$H$69)</f>
        <v>23206</v>
      </c>
      <c r="F29" s="13">
        <f>SUMIF(Urbano_2026!$A$5:$A$53,$A29,Urbano_2026!$H$5:$H$53)</f>
        <v>57.2</v>
      </c>
      <c r="G29" s="13">
        <f t="shared" si="0"/>
        <v>23263.200000000001</v>
      </c>
      <c r="H29" s="13">
        <f>SUMIF(Rural_2024!$A$5:$A$61,$A29,Rural_2024!$O$5:$O$61)+SUMIF(Urbano_2024!$A$5:$A$53,$A29,Urbano_2024!$O$5:$O$53)</f>
        <v>0</v>
      </c>
      <c r="I29" s="14">
        <f t="shared" si="1"/>
        <v>0</v>
      </c>
      <c r="J29" s="13">
        <f>SUMIF(Rural_2024!$A$5:$A$61,$A29,Rural_2024!$R$5:$R$61)+SUMIF(Urbano_2024!$A$5:$A$53,$A29,Urbano_2024!$R$5:$R$53)</f>
        <v>0</v>
      </c>
      <c r="K29" s="13">
        <f>SUMIF(Rural_2025!$A$5:$A$69,$A29,Rural_2025!$O$5:$O$69)+SUMIF(Urbano_2025!$A$5:$A$53,$A29,Urbano_2025!$O$5:$O$53)</f>
        <v>23263.200000000001</v>
      </c>
      <c r="L29" s="13">
        <f>SUMIF(Rural_2025!$A$5:$A$69,$A29,Rural_2025!$P$5:$P$69)+SUMIF(Urbano_2025!$A$5:$A$53,$A29,Urbano_2025!$P$5:$P$53)</f>
        <v>57.2</v>
      </c>
      <c r="M29" s="14">
        <f t="shared" si="2"/>
        <v>1</v>
      </c>
      <c r="N29" s="14">
        <f t="shared" si="3"/>
        <v>2.4588190790604905E-3</v>
      </c>
      <c r="O29" s="13">
        <f>SUMIF(Rural_2026!$A$5:$A$69,$A29,Rural_2026!$O$5:$O$69)+SUMIF(Urbano_2026!$A$5:$A$53,$A29,Urbano_2026!$O$5:$O$53)</f>
        <v>23263.200000000001</v>
      </c>
      <c r="P29" s="13">
        <f>SUMIF(Rural_2026!$A$5:$A$69,$A29,Rural_2026!$P$5:$P$69)+SUMIF(Urbano_2026!$A$5:$A$53,$A29,Urbano_2026!$P$5:$P$53)</f>
        <v>23263.200000000001</v>
      </c>
      <c r="Q29" s="14">
        <f t="shared" si="4"/>
        <v>1</v>
      </c>
      <c r="R29" s="14">
        <f t="shared" si="5"/>
        <v>1</v>
      </c>
      <c r="S29" s="13">
        <f>SUMIF(Rural_2026!$A$5:$A$69,$A29,Rural_2026!$U$5:$U$69)+SUMIF(Urbano_2026!$A$5:$A$53,$A29,Urbano_2026!$U$5:$U$53)</f>
        <v>0</v>
      </c>
      <c r="T29" s="14">
        <f t="shared" si="6"/>
        <v>0</v>
      </c>
      <c r="U29" s="29">
        <f t="shared" si="7"/>
        <v>100</v>
      </c>
    </row>
    <row r="30" spans="1:21" ht="15" customHeight="1" x14ac:dyDescent="0.25">
      <c r="A30" s="8" t="s">
        <v>192</v>
      </c>
      <c r="B30" s="8" t="s">
        <v>193</v>
      </c>
      <c r="C30" s="8" t="s">
        <v>138</v>
      </c>
      <c r="D30" s="8" t="s">
        <v>161</v>
      </c>
      <c r="E30" s="13">
        <f>SUMIF(Rural_2026!$A$5:$A$69,$A30,Rural_2026!$H$5:$H$69)</f>
        <v>21413.54</v>
      </c>
      <c r="F30" s="13">
        <f>SUMIF(Urbano_2026!$A$5:$A$53,$A30,Urbano_2026!$H$5:$H$53)</f>
        <v>163.82</v>
      </c>
      <c r="G30" s="13">
        <f t="shared" si="0"/>
        <v>21577.360000000001</v>
      </c>
      <c r="H30" s="13">
        <f>SUMIF(Rural_2024!$A$5:$A$61,$A30,Rural_2024!$O$5:$O$61)+SUMIF(Urbano_2024!$A$5:$A$53,$A30,Urbano_2024!$O$5:$O$53)</f>
        <v>19419.624</v>
      </c>
      <c r="I30" s="14">
        <f t="shared" si="1"/>
        <v>0.89999999999999991</v>
      </c>
      <c r="J30" s="13">
        <f>SUMIF(Rural_2024!$A$5:$A$61,$A30,Rural_2024!$R$5:$R$61)+SUMIF(Urbano_2024!$A$5:$A$53,$A30,Urbano_2024!$R$5:$R$53)</f>
        <v>11380.50764618217</v>
      </c>
      <c r="K30" s="13">
        <f>SUMIF(Rural_2025!$A$5:$A$69,$A30,Rural_2025!$O$5:$O$69)+SUMIF(Urbano_2025!$A$5:$A$53,$A30,Urbano_2025!$O$5:$O$53)</f>
        <v>21577.360000000001</v>
      </c>
      <c r="L30" s="13">
        <f>SUMIF(Rural_2025!$A$5:$A$69,$A30,Rural_2025!$P$5:$P$69)+SUMIF(Urbano_2025!$A$5:$A$53,$A30,Urbano_2025!$P$5:$P$53)</f>
        <v>21577.360000000001</v>
      </c>
      <c r="M30" s="14">
        <f t="shared" si="2"/>
        <v>1</v>
      </c>
      <c r="N30" s="14">
        <f t="shared" si="3"/>
        <v>1</v>
      </c>
      <c r="O30" s="13">
        <f>SUMIF(Rural_2026!$A$5:$A$69,$A30,Rural_2026!$O$5:$O$69)+SUMIF(Urbano_2026!$A$5:$A$53,$A30,Urbano_2026!$O$5:$O$53)</f>
        <v>21577.360000000001</v>
      </c>
      <c r="P30" s="13">
        <f>SUMIF(Rural_2026!$A$5:$A$69,$A30,Rural_2026!$P$5:$P$69)+SUMIF(Urbano_2026!$A$5:$A$53,$A30,Urbano_2026!$P$5:$P$53)</f>
        <v>21577.360000000001</v>
      </c>
      <c r="Q30" s="14">
        <f t="shared" si="4"/>
        <v>1</v>
      </c>
      <c r="R30" s="14">
        <f t="shared" si="5"/>
        <v>1</v>
      </c>
      <c r="S30" s="13">
        <f>SUMIF(Rural_2026!$A$5:$A$69,$A30,Rural_2026!$U$5:$U$69)+SUMIF(Urbano_2026!$A$5:$A$53,$A30,Urbano_2026!$U$5:$U$53)</f>
        <v>0</v>
      </c>
      <c r="T30" s="14">
        <f t="shared" si="6"/>
        <v>0</v>
      </c>
      <c r="U30" s="29">
        <f t="shared" si="7"/>
        <v>10.000000000000009</v>
      </c>
    </row>
    <row r="31" spans="1:21" ht="15" customHeight="1" x14ac:dyDescent="0.25">
      <c r="A31" s="8" t="s">
        <v>198</v>
      </c>
      <c r="B31" s="8" t="s">
        <v>199</v>
      </c>
      <c r="C31" s="8" t="s">
        <v>138</v>
      </c>
      <c r="D31" s="8" t="s">
        <v>161</v>
      </c>
      <c r="E31" s="13">
        <f>SUMIF(Rural_2026!$A$5:$A$69,$A31,Rural_2026!$H$5:$H$69)</f>
        <v>11825</v>
      </c>
      <c r="F31" s="13">
        <f>SUMIF(Urbano_2026!$A$5:$A$53,$A31,Urbano_2026!$H$5:$H$53)</f>
        <v>44.2</v>
      </c>
      <c r="G31" s="13">
        <f t="shared" si="0"/>
        <v>11869.2</v>
      </c>
      <c r="H31" s="13">
        <f>SUMIF(Rural_2024!$A$5:$A$61,$A31,Rural_2024!$O$5:$O$61)+SUMIF(Urbano_2024!$A$5:$A$53,$A31,Urbano_2024!$O$5:$O$53)</f>
        <v>0</v>
      </c>
      <c r="I31" s="14">
        <f t="shared" si="1"/>
        <v>0</v>
      </c>
      <c r="J31" s="13">
        <f>SUMIF(Rural_2024!$A$5:$A$61,$A31,Rural_2024!$R$5:$R$61)+SUMIF(Urbano_2024!$A$5:$A$53,$A31,Urbano_2024!$R$5:$R$53)</f>
        <v>0</v>
      </c>
      <c r="K31" s="13">
        <f>SUMIF(Rural_2025!$A$5:$A$69,$A31,Rural_2025!$O$5:$O$69)+SUMIF(Urbano_2025!$A$5:$A$53,$A31,Urbano_2025!$O$5:$O$53)</f>
        <v>11869.2</v>
      </c>
      <c r="L31" s="13">
        <f>SUMIF(Rural_2025!$A$5:$A$69,$A31,Rural_2025!$P$5:$P$69)+SUMIF(Urbano_2025!$A$5:$A$53,$A31,Urbano_2025!$P$5:$P$53)</f>
        <v>44.2</v>
      </c>
      <c r="M31" s="14">
        <f t="shared" si="2"/>
        <v>1</v>
      </c>
      <c r="N31" s="14">
        <f t="shared" si="3"/>
        <v>3.7239241060897112E-3</v>
      </c>
      <c r="O31" s="13">
        <f>SUMIF(Rural_2026!$A$5:$A$69,$A31,Rural_2026!$O$5:$O$69)+SUMIF(Urbano_2026!$A$5:$A$53,$A31,Urbano_2026!$O$5:$O$53)</f>
        <v>11869.2</v>
      </c>
      <c r="P31" s="13">
        <f>SUMIF(Rural_2026!$A$5:$A$69,$A31,Rural_2026!$P$5:$P$69)+SUMIF(Urbano_2026!$A$5:$A$53,$A31,Urbano_2026!$P$5:$P$53)</f>
        <v>11869.2</v>
      </c>
      <c r="Q31" s="14">
        <f t="shared" si="4"/>
        <v>1</v>
      </c>
      <c r="R31" s="14">
        <f t="shared" si="5"/>
        <v>1</v>
      </c>
      <c r="S31" s="13">
        <f>SUMIF(Rural_2026!$A$5:$A$69,$A31,Rural_2026!$U$5:$U$69)+SUMIF(Urbano_2026!$A$5:$A$53,$A31,Urbano_2026!$U$5:$U$53)</f>
        <v>5341.14</v>
      </c>
      <c r="T31" s="14">
        <f t="shared" si="6"/>
        <v>0.45</v>
      </c>
      <c r="U31" s="29">
        <f t="shared" si="7"/>
        <v>100</v>
      </c>
    </row>
    <row r="32" spans="1:21" ht="15" customHeight="1" x14ac:dyDescent="0.25">
      <c r="A32" s="8" t="s">
        <v>136</v>
      </c>
      <c r="B32" s="8" t="s">
        <v>137</v>
      </c>
      <c r="C32" s="8" t="s">
        <v>138</v>
      </c>
      <c r="D32" s="8" t="s">
        <v>139</v>
      </c>
      <c r="E32" s="13">
        <f>SUMIF(Rural_2026!$A$5:$A$69,$A32,Rural_2026!$H$5:$H$69)</f>
        <v>33207</v>
      </c>
      <c r="F32" s="13">
        <f>SUMIF(Urbano_2026!$A$5:$A$53,$A32,Urbano_2026!$H$5:$H$53)</f>
        <v>83.2</v>
      </c>
      <c r="G32" s="13">
        <f t="shared" si="0"/>
        <v>33290.199999999997</v>
      </c>
      <c r="H32" s="13">
        <f>SUMIF(Rural_2024!$A$5:$A$61,$A32,Rural_2024!$O$5:$O$61)+SUMIF(Urbano_2024!$A$5:$A$53,$A32,Urbano_2024!$O$5:$O$53)</f>
        <v>0</v>
      </c>
      <c r="I32" s="14">
        <f t="shared" si="1"/>
        <v>0</v>
      </c>
      <c r="J32" s="13">
        <f>SUMIF(Rural_2024!$A$5:$A$61,$A32,Rural_2024!$R$5:$R$61)+SUMIF(Urbano_2024!$A$5:$A$53,$A32,Urbano_2024!$R$5:$R$53)</f>
        <v>0</v>
      </c>
      <c r="K32" s="13">
        <f>SUMIF(Rural_2025!$A$5:$A$69,$A32,Rural_2025!$O$5:$O$69)+SUMIF(Urbano_2025!$A$5:$A$53,$A32,Urbano_2025!$O$5:$O$53)</f>
        <v>33290.199999999997</v>
      </c>
      <c r="L32" s="13">
        <f>SUMIF(Rural_2025!$A$5:$A$69,$A32,Rural_2025!$P$5:$P$69)+SUMIF(Urbano_2025!$A$5:$A$53,$A32,Urbano_2025!$P$5:$P$53)</f>
        <v>29969.5</v>
      </c>
      <c r="M32" s="14">
        <f t="shared" si="2"/>
        <v>1</v>
      </c>
      <c r="N32" s="14">
        <f t="shared" si="3"/>
        <v>0.90024992340088084</v>
      </c>
      <c r="O32" s="13">
        <f>SUMIF(Rural_2026!$A$5:$A$69,$A32,Rural_2026!$O$5:$O$69)+SUMIF(Urbano_2026!$A$5:$A$53,$A32,Urbano_2026!$O$5:$O$53)</f>
        <v>33290.199999999997</v>
      </c>
      <c r="P32" s="13">
        <f>SUMIF(Rural_2026!$A$5:$A$69,$A32,Rural_2026!$P$5:$P$69)+SUMIF(Urbano_2026!$A$5:$A$53,$A32,Urbano_2026!$P$5:$P$53)</f>
        <v>33290.199999999997</v>
      </c>
      <c r="Q32" s="14">
        <f t="shared" si="4"/>
        <v>1</v>
      </c>
      <c r="R32" s="14">
        <f t="shared" si="5"/>
        <v>1</v>
      </c>
      <c r="S32" s="13">
        <f>SUMIF(Rural_2026!$A$5:$A$69,$A32,Rural_2026!$U$5:$U$69)+SUMIF(Urbano_2026!$A$5:$A$53,$A32,Urbano_2026!$U$5:$U$53)</f>
        <v>14980.59</v>
      </c>
      <c r="T32" s="14">
        <f t="shared" si="6"/>
        <v>0.45000000000000007</v>
      </c>
      <c r="U32" s="29">
        <f t="shared" si="7"/>
        <v>100</v>
      </c>
    </row>
    <row r="33" spans="1:21" ht="15" customHeight="1" x14ac:dyDescent="0.25">
      <c r="A33" s="8" t="s">
        <v>319</v>
      </c>
      <c r="B33" s="8" t="s">
        <v>320</v>
      </c>
      <c r="C33" s="8" t="s">
        <v>138</v>
      </c>
      <c r="D33" s="8" t="s">
        <v>318</v>
      </c>
      <c r="E33" s="13">
        <f>SUMIF(Rural_2026!$A$5:$A$69,$A33,Rural_2026!$H$5:$H$69)</f>
        <v>150377.84</v>
      </c>
      <c r="F33" s="13">
        <f>SUMIF(Urbano_2026!$A$5:$A$53,$A33,Urbano_2026!$H$5:$H$53)</f>
        <v>0</v>
      </c>
      <c r="G33" s="13">
        <f t="shared" si="0"/>
        <v>150377.84</v>
      </c>
      <c r="H33" s="13">
        <f>SUMIF(Rural_2024!$A$5:$A$61,$A33,Rural_2024!$O$5:$O$61)+SUMIF(Urbano_2024!$A$5:$A$53,$A33,Urbano_2024!$O$5:$O$53)</f>
        <v>0</v>
      </c>
      <c r="I33" s="14">
        <f t="shared" si="1"/>
        <v>0</v>
      </c>
      <c r="J33" s="13">
        <f>SUMIF(Rural_2024!$A$5:$A$61,$A33,Rural_2024!$R$5:$R$61)+SUMIF(Urbano_2024!$A$5:$A$53,$A33,Urbano_2024!$R$5:$R$53)</f>
        <v>0</v>
      </c>
      <c r="K33" s="13">
        <f>SUMIF(Rural_2025!$A$5:$A$69,$A33,Rural_2025!$O$5:$O$69)+SUMIF(Urbano_2025!$A$5:$A$53,$A33,Urbano_2025!$O$5:$O$53)</f>
        <v>0</v>
      </c>
      <c r="L33" s="13">
        <f>SUMIF(Rural_2025!$A$5:$A$69,$A33,Rural_2025!$P$5:$P$69)+SUMIF(Urbano_2025!$A$5:$A$53,$A33,Urbano_2025!$P$5:$P$53)</f>
        <v>15037.784</v>
      </c>
      <c r="M33" s="14">
        <f t="shared" si="2"/>
        <v>0</v>
      </c>
      <c r="N33" s="14">
        <f t="shared" si="3"/>
        <v>0.1</v>
      </c>
      <c r="O33" s="13">
        <f>SUMIF(Rural_2026!$A$5:$A$69,$A33,Rural_2026!$O$5:$O$69)+SUMIF(Urbano_2026!$A$5:$A$53,$A33,Urbano_2026!$O$5:$O$53)</f>
        <v>0</v>
      </c>
      <c r="P33" s="13">
        <f>SUMIF(Rural_2026!$A$5:$A$69,$A33,Rural_2026!$P$5:$P$69)+SUMIF(Urbano_2026!$A$5:$A$53,$A33,Urbano_2026!$P$5:$P$53)</f>
        <v>0</v>
      </c>
      <c r="Q33" s="14">
        <f t="shared" si="4"/>
        <v>0</v>
      </c>
      <c r="R33" s="14">
        <f t="shared" si="5"/>
        <v>0</v>
      </c>
      <c r="S33" s="13">
        <f>SUMIF(Rural_2026!$A$5:$A$69,$A33,Rural_2026!$U$5:$U$69)+SUMIF(Urbano_2026!$A$5:$A$53,$A33,Urbano_2026!$U$5:$U$53)</f>
        <v>0</v>
      </c>
      <c r="T33" s="14">
        <f t="shared" si="6"/>
        <v>0</v>
      </c>
      <c r="U33" s="29">
        <f t="shared" si="7"/>
        <v>0</v>
      </c>
    </row>
    <row r="34" spans="1:21" ht="15" customHeight="1" x14ac:dyDescent="0.25">
      <c r="A34" s="8" t="s">
        <v>222</v>
      </c>
      <c r="B34" s="8" t="s">
        <v>223</v>
      </c>
      <c r="C34" s="8" t="s">
        <v>138</v>
      </c>
      <c r="D34" s="8" t="s">
        <v>161</v>
      </c>
      <c r="E34" s="13">
        <f>SUMIF(Rural_2026!$A$5:$A$69,$A34,Rural_2026!$H$5:$H$69)</f>
        <v>20682</v>
      </c>
      <c r="F34" s="13">
        <f>SUMIF(Urbano_2026!$A$5:$A$53,$A34,Urbano_2026!$H$5:$H$53)</f>
        <v>50.7</v>
      </c>
      <c r="G34" s="13">
        <f t="shared" si="0"/>
        <v>20732.7</v>
      </c>
      <c r="H34" s="13">
        <f>SUMIF(Rural_2024!$A$5:$A$61,$A34,Rural_2024!$O$5:$O$61)+SUMIF(Urbano_2024!$A$5:$A$53,$A34,Urbano_2024!$O$5:$O$53)</f>
        <v>0</v>
      </c>
      <c r="I34" s="14">
        <f t="shared" si="1"/>
        <v>0</v>
      </c>
      <c r="J34" s="13">
        <f>SUMIF(Rural_2024!$A$5:$A$61,$A34,Rural_2024!$R$5:$R$61)+SUMIF(Urbano_2024!$A$5:$A$53,$A34,Urbano_2024!$R$5:$R$53)</f>
        <v>0</v>
      </c>
      <c r="K34" s="13">
        <f>SUMIF(Rural_2025!$A$5:$A$69,$A34,Rural_2025!$O$5:$O$69)+SUMIF(Urbano_2025!$A$5:$A$53,$A34,Urbano_2025!$O$5:$O$53)</f>
        <v>20732.7</v>
      </c>
      <c r="L34" s="13">
        <f>SUMIF(Rural_2025!$A$5:$A$69,$A34,Rural_2025!$P$5:$P$69)+SUMIF(Urbano_2025!$A$5:$A$53,$A34,Urbano_2025!$P$5:$P$53)</f>
        <v>50.7</v>
      </c>
      <c r="M34" s="14">
        <f t="shared" si="2"/>
        <v>1</v>
      </c>
      <c r="N34" s="14">
        <f t="shared" si="3"/>
        <v>2.445412319668929E-3</v>
      </c>
      <c r="O34" s="13">
        <f>SUMIF(Rural_2026!$A$5:$A$69,$A34,Rural_2026!$O$5:$O$69)+SUMIF(Urbano_2026!$A$5:$A$53,$A34,Urbano_2026!$O$5:$O$53)</f>
        <v>20732.7</v>
      </c>
      <c r="P34" s="13">
        <f>SUMIF(Rural_2026!$A$5:$A$69,$A34,Rural_2026!$P$5:$P$69)+SUMIF(Urbano_2026!$A$5:$A$53,$A34,Urbano_2026!$P$5:$P$53)</f>
        <v>18664.5</v>
      </c>
      <c r="Q34" s="14">
        <f t="shared" si="4"/>
        <v>1</v>
      </c>
      <c r="R34" s="14">
        <f t="shared" si="5"/>
        <v>0.90024454123196684</v>
      </c>
      <c r="S34" s="13">
        <f>SUMIF(Rural_2026!$A$5:$A$69,$A34,Rural_2026!$U$5:$U$69)+SUMIF(Urbano_2026!$A$5:$A$53,$A34,Urbano_2026!$U$5:$U$53)</f>
        <v>5.07</v>
      </c>
      <c r="T34" s="14">
        <f t="shared" si="6"/>
        <v>2.4454123196689288E-4</v>
      </c>
      <c r="U34" s="29">
        <f t="shared" si="7"/>
        <v>100</v>
      </c>
    </row>
    <row r="35" spans="1:21" ht="15" customHeight="1" x14ac:dyDescent="0.25">
      <c r="A35" s="8" t="s">
        <v>224</v>
      </c>
      <c r="B35" s="8" t="s">
        <v>225</v>
      </c>
      <c r="C35" s="8" t="s">
        <v>138</v>
      </c>
      <c r="D35" s="8" t="s">
        <v>161</v>
      </c>
      <c r="E35" s="13">
        <f>SUMIF(Rural_2026!$A$5:$A$69,$A35,Rural_2026!$H$5:$H$69)</f>
        <v>12605</v>
      </c>
      <c r="F35" s="13">
        <f>SUMIF(Urbano_2026!$A$5:$A$53,$A35,Urbano_2026!$H$5:$H$53)</f>
        <v>0</v>
      </c>
      <c r="G35" s="13">
        <f t="shared" si="0"/>
        <v>12605</v>
      </c>
      <c r="H35" s="13">
        <f>SUMIF(Rural_2024!$A$5:$A$61,$A35,Rural_2024!$O$5:$O$61)+SUMIF(Urbano_2024!$A$5:$A$53,$A35,Urbano_2024!$O$5:$O$53)</f>
        <v>0</v>
      </c>
      <c r="I35" s="14">
        <f t="shared" si="1"/>
        <v>0</v>
      </c>
      <c r="J35" s="13">
        <f>SUMIF(Rural_2024!$A$5:$A$61,$A35,Rural_2024!$R$5:$R$61)+SUMIF(Urbano_2024!$A$5:$A$53,$A35,Urbano_2024!$R$5:$R$53)</f>
        <v>0</v>
      </c>
      <c r="K35" s="13">
        <f>SUMIF(Rural_2025!$A$5:$A$69,$A35,Rural_2025!$O$5:$O$69)+SUMIF(Urbano_2025!$A$5:$A$53,$A35,Urbano_2025!$O$5:$O$53)</f>
        <v>12605</v>
      </c>
      <c r="L35" s="13">
        <f>SUMIF(Rural_2025!$A$5:$A$69,$A35,Rural_2025!$P$5:$P$69)+SUMIF(Urbano_2025!$A$5:$A$53,$A35,Urbano_2025!$P$5:$P$53)</f>
        <v>0</v>
      </c>
      <c r="M35" s="14">
        <f t="shared" si="2"/>
        <v>1</v>
      </c>
      <c r="N35" s="14">
        <f t="shared" si="3"/>
        <v>0</v>
      </c>
      <c r="O35" s="13">
        <f>SUMIF(Rural_2026!$A$5:$A$69,$A35,Rural_2026!$O$5:$O$69)+SUMIF(Urbano_2026!$A$5:$A$53,$A35,Urbano_2026!$O$5:$O$53)</f>
        <v>12605</v>
      </c>
      <c r="P35" s="13">
        <f>SUMIF(Rural_2026!$A$5:$A$69,$A35,Rural_2026!$P$5:$P$69)+SUMIF(Urbano_2026!$A$5:$A$53,$A35,Urbano_2026!$P$5:$P$53)</f>
        <v>11344.5</v>
      </c>
      <c r="Q35" s="14">
        <f t="shared" si="4"/>
        <v>1</v>
      </c>
      <c r="R35" s="14">
        <f t="shared" si="5"/>
        <v>0.9</v>
      </c>
      <c r="S35" s="13">
        <f>SUMIF(Rural_2026!$A$5:$A$69,$A35,Rural_2026!$U$5:$U$69)+SUMIF(Urbano_2026!$A$5:$A$53,$A35,Urbano_2026!$U$5:$U$53)</f>
        <v>0</v>
      </c>
      <c r="T35" s="14">
        <f t="shared" si="6"/>
        <v>0</v>
      </c>
      <c r="U35" s="29">
        <f t="shared" si="7"/>
        <v>100</v>
      </c>
    </row>
    <row r="36" spans="1:21" ht="15" customHeight="1" x14ac:dyDescent="0.25">
      <c r="A36" s="8" t="s">
        <v>230</v>
      </c>
      <c r="B36" s="8" t="s">
        <v>231</v>
      </c>
      <c r="C36" s="8" t="s">
        <v>138</v>
      </c>
      <c r="D36" s="8" t="s">
        <v>161</v>
      </c>
      <c r="E36" s="13">
        <f>SUMIF(Rural_2026!$A$5:$A$69,$A36,Rural_2026!$H$5:$H$69)</f>
        <v>23361</v>
      </c>
      <c r="F36" s="13">
        <f>SUMIF(Urbano_2026!$A$5:$A$53,$A36,Urbano_2026!$H$5:$H$53)</f>
        <v>235.7</v>
      </c>
      <c r="G36" s="13">
        <f t="shared" si="0"/>
        <v>23596.7</v>
      </c>
      <c r="H36" s="13">
        <f>SUMIF(Rural_2024!$A$5:$A$61,$A36,Rural_2024!$O$5:$O$61)+SUMIF(Urbano_2024!$A$5:$A$53,$A36,Urbano_2024!$O$5:$O$53)</f>
        <v>212.13</v>
      </c>
      <c r="I36" s="14">
        <f t="shared" si="1"/>
        <v>8.9898163726283755E-3</v>
      </c>
      <c r="J36" s="13">
        <f>SUMIF(Rural_2024!$A$5:$A$61,$A36,Rural_2024!$R$5:$R$61)+SUMIF(Urbano_2024!$A$5:$A$53,$A36,Urbano_2024!$R$5:$R$53)</f>
        <v>212.13</v>
      </c>
      <c r="K36" s="13">
        <f>SUMIF(Rural_2025!$A$5:$A$69,$A36,Rural_2025!$O$5:$O$69)+SUMIF(Urbano_2025!$A$5:$A$53,$A36,Urbano_2025!$O$5:$O$53)</f>
        <v>23596.7</v>
      </c>
      <c r="L36" s="13">
        <f>SUMIF(Rural_2025!$A$5:$A$69,$A36,Rural_2025!$P$5:$P$69)+SUMIF(Urbano_2025!$A$5:$A$53,$A36,Urbano_2025!$P$5:$P$53)</f>
        <v>235.7</v>
      </c>
      <c r="M36" s="14">
        <f t="shared" si="2"/>
        <v>1</v>
      </c>
      <c r="N36" s="14">
        <f t="shared" si="3"/>
        <v>9.988684858475972E-3</v>
      </c>
      <c r="O36" s="13">
        <f>SUMIF(Rural_2026!$A$5:$A$69,$A36,Rural_2026!$O$5:$O$69)+SUMIF(Urbano_2026!$A$5:$A$53,$A36,Urbano_2026!$O$5:$O$53)</f>
        <v>23596.7</v>
      </c>
      <c r="P36" s="13">
        <f>SUMIF(Rural_2026!$A$5:$A$69,$A36,Rural_2026!$P$5:$P$69)+SUMIF(Urbano_2026!$A$5:$A$53,$A36,Urbano_2026!$P$5:$P$53)</f>
        <v>23596.7</v>
      </c>
      <c r="Q36" s="14">
        <f t="shared" si="4"/>
        <v>1</v>
      </c>
      <c r="R36" s="14">
        <f t="shared" si="5"/>
        <v>1</v>
      </c>
      <c r="S36" s="13">
        <f>SUMIF(Rural_2026!$A$5:$A$69,$A36,Rural_2026!$U$5:$U$69)+SUMIF(Urbano_2026!$A$5:$A$53,$A36,Urbano_2026!$U$5:$U$53)</f>
        <v>106.065</v>
      </c>
      <c r="T36" s="14">
        <f t="shared" si="6"/>
        <v>4.4949081863141878E-3</v>
      </c>
      <c r="U36" s="29">
        <f t="shared" si="7"/>
        <v>99.101018362737165</v>
      </c>
    </row>
    <row r="37" spans="1:21" ht="15" customHeight="1" x14ac:dyDescent="0.25">
      <c r="A37" s="8" t="s">
        <v>234</v>
      </c>
      <c r="B37" s="8" t="s">
        <v>235</v>
      </c>
      <c r="C37" s="8" t="s">
        <v>138</v>
      </c>
      <c r="D37" s="8" t="s">
        <v>161</v>
      </c>
      <c r="E37" s="13">
        <f>SUMIF(Rural_2026!$A$5:$A$69,$A37,Rural_2026!$H$5:$H$69)</f>
        <v>86571</v>
      </c>
      <c r="F37" s="13">
        <f>SUMIF(Urbano_2026!$A$5:$A$53,$A37,Urbano_2026!$H$5:$H$53)</f>
        <v>584.66</v>
      </c>
      <c r="G37" s="13">
        <f t="shared" ref="G37:G68" si="8">E37+F37</f>
        <v>87155.66</v>
      </c>
      <c r="H37" s="13">
        <f>SUMIF(Rural_2024!$A$5:$A$61,$A37,Rural_2024!$O$5:$O$61)+SUMIF(Urbano_2024!$A$5:$A$53,$A37,Urbano_2024!$O$5:$O$53)</f>
        <v>526.19399999999996</v>
      </c>
      <c r="I37" s="14">
        <f t="shared" ref="I37:I68" si="9">IF(G37=0,0,H37/G37)</f>
        <v>6.0374047996423858E-3</v>
      </c>
      <c r="J37" s="13">
        <f>SUMIF(Rural_2024!$A$5:$A$61,$A37,Rural_2024!$R$5:$R$61)+SUMIF(Urbano_2024!$A$5:$A$53,$A37,Urbano_2024!$R$5:$R$53)</f>
        <v>525.84285285285284</v>
      </c>
      <c r="K37" s="13">
        <f>SUMIF(Rural_2025!$A$5:$A$69,$A37,Rural_2025!$O$5:$O$69)+SUMIF(Urbano_2025!$A$5:$A$53,$A37,Urbano_2025!$O$5:$O$53)</f>
        <v>39541.610000000008</v>
      </c>
      <c r="L37" s="13">
        <f>SUMIF(Rural_2025!$A$5:$A$69,$A37,Rural_2025!$P$5:$P$69)+SUMIF(Urbano_2025!$A$5:$A$53,$A37,Urbano_2025!$P$5:$P$53)</f>
        <v>87155.66</v>
      </c>
      <c r="M37" s="14">
        <f t="shared" ref="M37:M68" si="10">IF(G37=0,0,K37/G37)</f>
        <v>0.45368952515533706</v>
      </c>
      <c r="N37" s="14">
        <f t="shared" ref="N37:N68" si="11">IF(G37=0,0,L37/G37)</f>
        <v>1</v>
      </c>
      <c r="O37" s="13">
        <f>SUMIF(Rural_2026!$A$5:$A$69,$A37,Rural_2026!$O$5:$O$69)+SUMIF(Urbano_2026!$A$5:$A$53,$A37,Urbano_2026!$O$5:$O$53)</f>
        <v>87155.66</v>
      </c>
      <c r="P37" s="13">
        <f>SUMIF(Rural_2026!$A$5:$A$69,$A37,Rural_2026!$P$5:$P$69)+SUMIF(Urbano_2026!$A$5:$A$53,$A37,Urbano_2026!$P$5:$P$53)</f>
        <v>87155.66</v>
      </c>
      <c r="Q37" s="14">
        <f t="shared" ref="Q37:Q68" si="12">IF(G37=0,0,O37/G37)</f>
        <v>1</v>
      </c>
      <c r="R37" s="14">
        <f t="shared" ref="R37:R68" si="13">IF(G37=0,0,P37/G37)</f>
        <v>1</v>
      </c>
      <c r="S37" s="13">
        <f>SUMIF(Rural_2026!$A$5:$A$69,$A37,Rural_2026!$U$5:$U$69)+SUMIF(Urbano_2026!$A$5:$A$53,$A37,Urbano_2026!$U$5:$U$53)</f>
        <v>526.19399999999996</v>
      </c>
      <c r="T37" s="14">
        <f t="shared" ref="T37:T68" si="14">IF(G37=0,0,S37/G37)</f>
        <v>6.0374047996423858E-3</v>
      </c>
      <c r="U37" s="29">
        <f t="shared" ref="U37:U73" si="15">(Q37-I37)*100</f>
        <v>99.396259520035755</v>
      </c>
    </row>
    <row r="38" spans="1:21" ht="15" customHeight="1" x14ac:dyDescent="0.25">
      <c r="A38" s="8" t="s">
        <v>240</v>
      </c>
      <c r="B38" s="8" t="s">
        <v>241</v>
      </c>
      <c r="C38" s="8" t="s">
        <v>138</v>
      </c>
      <c r="D38" s="8" t="s">
        <v>161</v>
      </c>
      <c r="E38" s="13">
        <f>SUMIF(Rural_2026!$A$5:$A$69,$A38,Rural_2026!$H$5:$H$69)</f>
        <v>13442</v>
      </c>
      <c r="F38" s="13">
        <f>SUMIF(Urbano_2026!$A$5:$A$53,$A38,Urbano_2026!$H$5:$H$53)</f>
        <v>31.2</v>
      </c>
      <c r="G38" s="13">
        <f t="shared" si="8"/>
        <v>13473.2</v>
      </c>
      <c r="H38" s="13">
        <f>SUMIF(Rural_2024!$A$5:$A$61,$A38,Rural_2024!$O$5:$O$61)+SUMIF(Urbano_2024!$A$5:$A$53,$A38,Urbano_2024!$O$5:$O$53)</f>
        <v>0</v>
      </c>
      <c r="I38" s="14">
        <f t="shared" si="9"/>
        <v>0</v>
      </c>
      <c r="J38" s="13">
        <f>SUMIF(Rural_2024!$A$5:$A$61,$A38,Rural_2024!$R$5:$R$61)+SUMIF(Urbano_2024!$A$5:$A$53,$A38,Urbano_2024!$R$5:$R$53)</f>
        <v>0</v>
      </c>
      <c r="K38" s="13">
        <f>SUMIF(Rural_2025!$A$5:$A$69,$A38,Rural_2025!$O$5:$O$69)+SUMIF(Urbano_2025!$A$5:$A$53,$A38,Urbano_2025!$O$5:$O$53)</f>
        <v>12129.000000000002</v>
      </c>
      <c r="L38" s="13">
        <f>SUMIF(Rural_2025!$A$5:$A$69,$A38,Rural_2025!$P$5:$P$69)+SUMIF(Urbano_2025!$A$5:$A$53,$A38,Urbano_2025!$P$5:$P$53)</f>
        <v>31.2</v>
      </c>
      <c r="M38" s="14">
        <f t="shared" si="10"/>
        <v>0.9002315708220765</v>
      </c>
      <c r="N38" s="14">
        <f t="shared" si="11"/>
        <v>2.3157082207641835E-3</v>
      </c>
      <c r="O38" s="13">
        <f>SUMIF(Rural_2026!$A$5:$A$69,$A38,Rural_2026!$O$5:$O$69)+SUMIF(Urbano_2026!$A$5:$A$53,$A38,Urbano_2026!$O$5:$O$53)</f>
        <v>13473.2</v>
      </c>
      <c r="P38" s="13">
        <f>SUMIF(Rural_2026!$A$5:$A$69,$A38,Rural_2026!$P$5:$P$69)+SUMIF(Urbano_2026!$A$5:$A$53,$A38,Urbano_2026!$P$5:$P$53)</f>
        <v>13473.2</v>
      </c>
      <c r="Q38" s="14">
        <f t="shared" si="12"/>
        <v>1</v>
      </c>
      <c r="R38" s="14">
        <f t="shared" si="13"/>
        <v>1</v>
      </c>
      <c r="S38" s="13">
        <f>SUMIF(Rural_2026!$A$5:$A$69,$A38,Rural_2026!$U$5:$U$69)+SUMIF(Urbano_2026!$A$5:$A$53,$A38,Urbano_2026!$U$5:$U$53)</f>
        <v>6052.02</v>
      </c>
      <c r="T38" s="14">
        <f t="shared" si="14"/>
        <v>0.44918950212273256</v>
      </c>
      <c r="U38" s="29">
        <f t="shared" si="15"/>
        <v>100</v>
      </c>
    </row>
    <row r="39" spans="1:21" ht="15" customHeight="1" x14ac:dyDescent="0.25">
      <c r="A39" s="8" t="s">
        <v>246</v>
      </c>
      <c r="B39" s="8" t="s">
        <v>247</v>
      </c>
      <c r="C39" s="8" t="s">
        <v>138</v>
      </c>
      <c r="D39" s="8" t="s">
        <v>161</v>
      </c>
      <c r="E39" s="13">
        <f>SUMIF(Rural_2026!$A$5:$A$69,$A39,Rural_2026!$H$5:$H$69)</f>
        <v>56748</v>
      </c>
      <c r="F39" s="13">
        <f>SUMIF(Urbano_2026!$A$5:$A$53,$A39,Urbano_2026!$H$5:$H$53)</f>
        <v>0</v>
      </c>
      <c r="G39" s="13">
        <f t="shared" si="8"/>
        <v>56748</v>
      </c>
      <c r="H39" s="13">
        <f>SUMIF(Rural_2024!$A$5:$A$61,$A39,Rural_2024!$O$5:$O$61)+SUMIF(Urbano_2024!$A$5:$A$53,$A39,Urbano_2024!$O$5:$O$53)</f>
        <v>0</v>
      </c>
      <c r="I39" s="14">
        <f t="shared" si="9"/>
        <v>0</v>
      </c>
      <c r="J39" s="13">
        <f>SUMIF(Rural_2024!$A$5:$A$61,$A39,Rural_2024!$R$5:$R$61)+SUMIF(Urbano_2024!$A$5:$A$53,$A39,Urbano_2024!$R$5:$R$53)</f>
        <v>0</v>
      </c>
      <c r="K39" s="13">
        <f>SUMIF(Rural_2025!$A$5:$A$69,$A39,Rural_2025!$O$5:$O$69)+SUMIF(Urbano_2025!$A$5:$A$53,$A39,Urbano_2025!$O$5:$O$53)</f>
        <v>51073.200000000004</v>
      </c>
      <c r="L39" s="13">
        <f>SUMIF(Rural_2025!$A$5:$A$69,$A39,Rural_2025!$P$5:$P$69)+SUMIF(Urbano_2025!$A$5:$A$53,$A39,Urbano_2025!$P$5:$P$53)</f>
        <v>51073.200000000004</v>
      </c>
      <c r="M39" s="14">
        <f t="shared" si="10"/>
        <v>0.9</v>
      </c>
      <c r="N39" s="14">
        <f t="shared" si="11"/>
        <v>0.9</v>
      </c>
      <c r="O39" s="13">
        <f>SUMIF(Rural_2026!$A$5:$A$69,$A39,Rural_2026!$O$5:$O$69)+SUMIF(Urbano_2026!$A$5:$A$53,$A39,Urbano_2026!$O$5:$O$53)</f>
        <v>0</v>
      </c>
      <c r="P39" s="13">
        <f>SUMIF(Rural_2026!$A$5:$A$69,$A39,Rural_2026!$P$5:$P$69)+SUMIF(Urbano_2026!$A$5:$A$53,$A39,Urbano_2026!$P$5:$P$53)</f>
        <v>0</v>
      </c>
      <c r="Q39" s="14">
        <f t="shared" si="12"/>
        <v>0</v>
      </c>
      <c r="R39" s="14">
        <f t="shared" si="13"/>
        <v>0</v>
      </c>
      <c r="S39" s="13">
        <f>SUMIF(Rural_2026!$A$5:$A$69,$A39,Rural_2026!$U$5:$U$69)+SUMIF(Urbano_2026!$A$5:$A$53,$A39,Urbano_2026!$U$5:$U$53)</f>
        <v>0</v>
      </c>
      <c r="T39" s="14">
        <f t="shared" si="14"/>
        <v>0</v>
      </c>
      <c r="U39" s="29">
        <f t="shared" si="15"/>
        <v>0</v>
      </c>
    </row>
    <row r="40" spans="1:21" ht="15" customHeight="1" x14ac:dyDescent="0.25">
      <c r="A40" s="8" t="s">
        <v>248</v>
      </c>
      <c r="B40" s="8" t="s">
        <v>249</v>
      </c>
      <c r="C40" s="8" t="s">
        <v>138</v>
      </c>
      <c r="D40" s="8" t="s">
        <v>161</v>
      </c>
      <c r="E40" s="13">
        <f>SUMIF(Rural_2026!$A$5:$A$69,$A40,Rural_2026!$H$5:$H$69)</f>
        <v>71233</v>
      </c>
      <c r="F40" s="13">
        <f>SUMIF(Urbano_2026!$A$5:$A$53,$A40,Urbano_2026!$H$5:$H$53)</f>
        <v>280.66000000000003</v>
      </c>
      <c r="G40" s="13">
        <f t="shared" si="8"/>
        <v>71513.66</v>
      </c>
      <c r="H40" s="13">
        <f>SUMIF(Rural_2024!$A$5:$A$61,$A40,Rural_2024!$O$5:$O$61)+SUMIF(Urbano_2024!$A$5:$A$53,$A40,Urbano_2024!$O$5:$O$53)</f>
        <v>252.59400000000002</v>
      </c>
      <c r="I40" s="14">
        <f t="shared" si="9"/>
        <v>3.5321084111762705E-3</v>
      </c>
      <c r="J40" s="13">
        <f>SUMIF(Rural_2024!$A$5:$A$61,$A40,Rural_2024!$R$5:$R$61)+SUMIF(Urbano_2024!$A$5:$A$53,$A40,Urbano_2024!$R$5:$R$53)</f>
        <v>252.59399999999999</v>
      </c>
      <c r="K40" s="13">
        <f>SUMIF(Rural_2025!$A$5:$A$69,$A40,Rural_2025!$O$5:$O$69)+SUMIF(Urbano_2025!$A$5:$A$53,$A40,Urbano_2025!$O$5:$O$53)</f>
        <v>64390.360000000008</v>
      </c>
      <c r="L40" s="13">
        <f>SUMIF(Rural_2025!$A$5:$A$69,$A40,Rural_2025!$P$5:$P$69)+SUMIF(Urbano_2025!$A$5:$A$53,$A40,Urbano_2025!$P$5:$P$53)</f>
        <v>64390.360000000008</v>
      </c>
      <c r="M40" s="14">
        <f t="shared" si="10"/>
        <v>0.90039245649013078</v>
      </c>
      <c r="N40" s="14">
        <f t="shared" si="11"/>
        <v>0.90039245649013078</v>
      </c>
      <c r="O40" s="13">
        <f>SUMIF(Rural_2026!$A$5:$A$69,$A40,Rural_2026!$O$5:$O$69)+SUMIF(Urbano_2026!$A$5:$A$53,$A40,Urbano_2026!$O$5:$O$53)</f>
        <v>71513.66</v>
      </c>
      <c r="P40" s="13">
        <f>SUMIF(Rural_2026!$A$5:$A$69,$A40,Rural_2026!$P$5:$P$69)+SUMIF(Urbano_2026!$A$5:$A$53,$A40,Urbano_2026!$P$5:$P$53)</f>
        <v>71513.66</v>
      </c>
      <c r="Q40" s="14">
        <f t="shared" si="12"/>
        <v>1</v>
      </c>
      <c r="R40" s="14">
        <f t="shared" si="13"/>
        <v>1</v>
      </c>
      <c r="S40" s="13">
        <f>SUMIF(Rural_2026!$A$5:$A$69,$A40,Rural_2026!$U$5:$U$69)+SUMIF(Urbano_2026!$A$5:$A$53,$A40,Urbano_2026!$U$5:$U$53)</f>
        <v>252.59400000000002</v>
      </c>
      <c r="T40" s="14">
        <f t="shared" si="14"/>
        <v>3.5321084111762705E-3</v>
      </c>
      <c r="U40" s="29">
        <f t="shared" si="15"/>
        <v>99.64678915888237</v>
      </c>
    </row>
    <row r="41" spans="1:21" ht="15" customHeight="1" x14ac:dyDescent="0.25">
      <c r="A41" s="8" t="s">
        <v>162</v>
      </c>
      <c r="B41" s="8" t="s">
        <v>163</v>
      </c>
      <c r="C41" s="8" t="s">
        <v>149</v>
      </c>
      <c r="D41" s="8" t="s">
        <v>161</v>
      </c>
      <c r="E41" s="13">
        <f>SUMIF(Rural_2026!$A$5:$A$69,$A41,Rural_2026!$H$5:$H$69)</f>
        <v>29715</v>
      </c>
      <c r="F41" s="13">
        <f>SUMIF(Urbano_2026!$A$5:$A$53,$A41,Urbano_2026!$H$5:$H$53)</f>
        <v>15.6</v>
      </c>
      <c r="G41" s="13">
        <f t="shared" si="8"/>
        <v>29730.6</v>
      </c>
      <c r="H41" s="13">
        <f>SUMIF(Rural_2024!$A$5:$A$61,$A41,Rural_2024!$O$5:$O$61)+SUMIF(Urbano_2024!$A$5:$A$53,$A41,Urbano_2024!$O$5:$O$53)</f>
        <v>0</v>
      </c>
      <c r="I41" s="14">
        <f t="shared" si="9"/>
        <v>0</v>
      </c>
      <c r="J41" s="13">
        <f>SUMIF(Rural_2024!$A$5:$A$61,$A41,Rural_2024!$R$5:$R$61)+SUMIF(Urbano_2024!$A$5:$A$53,$A41,Urbano_2024!$R$5:$R$53)</f>
        <v>0</v>
      </c>
      <c r="K41" s="13">
        <f>SUMIF(Rural_2025!$A$5:$A$69,$A41,Rural_2025!$O$5:$O$69)+SUMIF(Urbano_2025!$A$5:$A$53,$A41,Urbano_2025!$O$5:$O$53)</f>
        <v>29730.6</v>
      </c>
      <c r="L41" s="13">
        <f>SUMIF(Rural_2025!$A$5:$A$69,$A41,Rural_2025!$P$5:$P$69)+SUMIF(Urbano_2025!$A$5:$A$53,$A41,Urbano_2025!$P$5:$P$53)</f>
        <v>26759.1</v>
      </c>
      <c r="M41" s="14">
        <f t="shared" si="10"/>
        <v>1</v>
      </c>
      <c r="N41" s="14">
        <f t="shared" si="11"/>
        <v>0.90005247119129783</v>
      </c>
      <c r="O41" s="13">
        <f>SUMIF(Rural_2026!$A$5:$A$69,$A41,Rural_2026!$O$5:$O$69)+SUMIF(Urbano_2026!$A$5:$A$53,$A41,Urbano_2026!$O$5:$O$53)</f>
        <v>29730.6</v>
      </c>
      <c r="P41" s="13">
        <f>SUMIF(Rural_2026!$A$5:$A$69,$A41,Rural_2026!$P$5:$P$69)+SUMIF(Urbano_2026!$A$5:$A$53,$A41,Urbano_2026!$P$5:$P$53)</f>
        <v>29730.6</v>
      </c>
      <c r="Q41" s="14">
        <f t="shared" si="12"/>
        <v>1</v>
      </c>
      <c r="R41" s="14">
        <f t="shared" si="13"/>
        <v>1</v>
      </c>
      <c r="S41" s="13">
        <f>SUMIF(Rural_2026!$A$5:$A$69,$A41,Rural_2026!$U$5:$U$69)+SUMIF(Urbano_2026!$A$5:$A$53,$A41,Urbano_2026!$U$5:$U$53)</f>
        <v>0</v>
      </c>
      <c r="T41" s="14">
        <f t="shared" si="14"/>
        <v>0</v>
      </c>
      <c r="U41" s="29">
        <f t="shared" si="15"/>
        <v>100</v>
      </c>
    </row>
    <row r="42" spans="1:21" ht="15" customHeight="1" x14ac:dyDescent="0.25">
      <c r="A42" s="8" t="s">
        <v>165</v>
      </c>
      <c r="B42" s="8" t="s">
        <v>166</v>
      </c>
      <c r="C42" s="8" t="s">
        <v>149</v>
      </c>
      <c r="D42" s="8" t="s">
        <v>161</v>
      </c>
      <c r="E42" s="13">
        <f>SUMIF(Rural_2026!$A$5:$A$69,$A42,Rural_2026!$H$5:$H$69)</f>
        <v>11050.26</v>
      </c>
      <c r="F42" s="13">
        <f>SUMIF(Urbano_2026!$A$5:$A$53,$A42,Urbano_2026!$H$5:$H$53)</f>
        <v>22.1</v>
      </c>
      <c r="G42" s="13">
        <f t="shared" si="8"/>
        <v>11072.36</v>
      </c>
      <c r="H42" s="13">
        <f>SUMIF(Rural_2024!$A$5:$A$61,$A42,Rural_2024!$O$5:$O$61)+SUMIF(Urbano_2024!$A$5:$A$53,$A42,Urbano_2024!$O$5:$O$53)</f>
        <v>4972.6170000000002</v>
      </c>
      <c r="I42" s="14">
        <f t="shared" si="9"/>
        <v>0.44910181749870848</v>
      </c>
      <c r="J42" s="13">
        <f>SUMIF(Rural_2024!$A$5:$A$61,$A42,Rural_2024!$R$5:$R$61)+SUMIF(Urbano_2024!$A$5:$A$53,$A42,Urbano_2024!$R$5:$R$53)</f>
        <v>3453.2062500000002</v>
      </c>
      <c r="K42" s="13">
        <f>SUMIF(Rural_2025!$A$5:$A$69,$A42,Rural_2025!$O$5:$O$69)+SUMIF(Urbano_2025!$A$5:$A$53,$A42,Urbano_2025!$O$5:$O$53)</f>
        <v>11072.36</v>
      </c>
      <c r="L42" s="13">
        <f>SUMIF(Rural_2025!$A$5:$A$69,$A42,Rural_2025!$P$5:$P$69)+SUMIF(Urbano_2025!$A$5:$A$53,$A42,Urbano_2025!$P$5:$P$53)</f>
        <v>11072.36</v>
      </c>
      <c r="M42" s="14">
        <f t="shared" si="10"/>
        <v>1</v>
      </c>
      <c r="N42" s="14">
        <f t="shared" si="11"/>
        <v>1</v>
      </c>
      <c r="O42" s="13">
        <f>SUMIF(Rural_2026!$A$5:$A$69,$A42,Rural_2026!$O$5:$O$69)+SUMIF(Urbano_2026!$A$5:$A$53,$A42,Urbano_2026!$O$5:$O$53)</f>
        <v>11072.36</v>
      </c>
      <c r="P42" s="13">
        <f>SUMIF(Rural_2026!$A$5:$A$69,$A42,Rural_2026!$P$5:$P$69)+SUMIF(Urbano_2026!$A$5:$A$53,$A42,Urbano_2026!$P$5:$P$53)</f>
        <v>11072.36</v>
      </c>
      <c r="Q42" s="14">
        <f t="shared" si="12"/>
        <v>1</v>
      </c>
      <c r="R42" s="14">
        <f t="shared" si="13"/>
        <v>1</v>
      </c>
      <c r="S42" s="13">
        <f>SUMIF(Rural_2026!$A$5:$A$69,$A42,Rural_2026!$U$5:$U$69)+SUMIF(Urbano_2026!$A$5:$A$53,$A42,Urbano_2026!$U$5:$U$53)</f>
        <v>9945.2340000000004</v>
      </c>
      <c r="T42" s="14">
        <f t="shared" si="14"/>
        <v>0.89820363499741696</v>
      </c>
      <c r="U42" s="29">
        <f t="shared" si="15"/>
        <v>55.089818250129156</v>
      </c>
    </row>
    <row r="43" spans="1:21" ht="15" customHeight="1" x14ac:dyDescent="0.25">
      <c r="A43" s="8" t="s">
        <v>171</v>
      </c>
      <c r="B43" s="8" t="s">
        <v>172</v>
      </c>
      <c r="C43" s="8" t="s">
        <v>149</v>
      </c>
      <c r="D43" s="8" t="s">
        <v>161</v>
      </c>
      <c r="E43" s="13">
        <f>SUMIF(Rural_2026!$A$5:$A$69,$A43,Rural_2026!$H$5:$H$69)</f>
        <v>35519</v>
      </c>
      <c r="F43" s="13">
        <f>SUMIF(Urbano_2026!$A$5:$A$53,$A43,Urbano_2026!$H$5:$H$53)</f>
        <v>13</v>
      </c>
      <c r="G43" s="13">
        <f t="shared" si="8"/>
        <v>35532</v>
      </c>
      <c r="H43" s="13">
        <f>SUMIF(Rural_2024!$A$5:$A$61,$A43,Rural_2024!$O$5:$O$61)+SUMIF(Urbano_2024!$A$5:$A$53,$A43,Urbano_2024!$O$5:$O$53)</f>
        <v>0</v>
      </c>
      <c r="I43" s="14">
        <f t="shared" si="9"/>
        <v>0</v>
      </c>
      <c r="J43" s="13">
        <f>SUMIF(Rural_2024!$A$5:$A$61,$A43,Rural_2024!$R$5:$R$61)+SUMIF(Urbano_2024!$A$5:$A$53,$A43,Urbano_2024!$R$5:$R$53)</f>
        <v>0</v>
      </c>
      <c r="K43" s="13">
        <f>SUMIF(Rural_2025!$A$5:$A$69,$A43,Rural_2025!$O$5:$O$69)+SUMIF(Urbano_2025!$A$5:$A$53,$A43,Urbano_2025!$O$5:$O$53)</f>
        <v>31980.100000000002</v>
      </c>
      <c r="L43" s="13">
        <f>SUMIF(Rural_2025!$A$5:$A$69,$A43,Rural_2025!$P$5:$P$69)+SUMIF(Urbano_2025!$A$5:$A$53,$A43,Urbano_2025!$P$5:$P$53)</f>
        <v>31980.100000000002</v>
      </c>
      <c r="M43" s="14">
        <f t="shared" si="10"/>
        <v>0.90003658673871445</v>
      </c>
      <c r="N43" s="14">
        <f t="shared" si="11"/>
        <v>0.90003658673871445</v>
      </c>
      <c r="O43" s="13">
        <f>SUMIF(Rural_2026!$A$5:$A$69,$A43,Rural_2026!$O$5:$O$69)+SUMIF(Urbano_2026!$A$5:$A$53,$A43,Urbano_2026!$O$5:$O$53)</f>
        <v>35532</v>
      </c>
      <c r="P43" s="13">
        <f>SUMIF(Rural_2026!$A$5:$A$69,$A43,Rural_2026!$P$5:$P$69)+SUMIF(Urbano_2026!$A$5:$A$53,$A43,Urbano_2026!$P$5:$P$53)</f>
        <v>35532</v>
      </c>
      <c r="Q43" s="14">
        <f t="shared" si="12"/>
        <v>1</v>
      </c>
      <c r="R43" s="14">
        <f t="shared" si="13"/>
        <v>1</v>
      </c>
      <c r="S43" s="13">
        <f>SUMIF(Rural_2026!$A$5:$A$69,$A43,Rural_2026!$U$5:$U$69)+SUMIF(Urbano_2026!$A$5:$A$53,$A43,Urbano_2026!$U$5:$U$53)</f>
        <v>0</v>
      </c>
      <c r="T43" s="14">
        <f t="shared" si="14"/>
        <v>0</v>
      </c>
      <c r="U43" s="29">
        <f t="shared" si="15"/>
        <v>100</v>
      </c>
    </row>
    <row r="44" spans="1:21" ht="15" customHeight="1" x14ac:dyDescent="0.25">
      <c r="A44" s="8" t="s">
        <v>181</v>
      </c>
      <c r="B44" s="8" t="s">
        <v>182</v>
      </c>
      <c r="C44" s="8" t="s">
        <v>149</v>
      </c>
      <c r="D44" s="8" t="s">
        <v>161</v>
      </c>
      <c r="E44" s="13">
        <f>SUMIF(Rural_2026!$A$5:$A$69,$A44,Rural_2026!$H$5:$H$69)</f>
        <v>36484</v>
      </c>
      <c r="F44" s="13">
        <f>SUMIF(Urbano_2026!$A$5:$A$53,$A44,Urbano_2026!$H$5:$H$53)</f>
        <v>107.9</v>
      </c>
      <c r="G44" s="13">
        <f t="shared" si="8"/>
        <v>36591.9</v>
      </c>
      <c r="H44" s="13">
        <f>SUMIF(Rural_2024!$A$5:$A$61,$A44,Rural_2024!$O$5:$O$61)+SUMIF(Urbano_2024!$A$5:$A$53,$A44,Urbano_2024!$O$5:$O$53)</f>
        <v>0</v>
      </c>
      <c r="I44" s="14">
        <f t="shared" si="9"/>
        <v>0</v>
      </c>
      <c r="J44" s="13">
        <f>SUMIF(Rural_2024!$A$5:$A$61,$A44,Rural_2024!$R$5:$R$61)+SUMIF(Urbano_2024!$A$5:$A$53,$A44,Urbano_2024!$R$5:$R$53)</f>
        <v>0</v>
      </c>
      <c r="K44" s="13">
        <f>SUMIF(Rural_2025!$A$5:$A$69,$A44,Rural_2025!$O$5:$O$69)+SUMIF(Urbano_2025!$A$5:$A$53,$A44,Urbano_2025!$O$5:$O$53)</f>
        <v>36591.9</v>
      </c>
      <c r="L44" s="13">
        <f>SUMIF(Rural_2025!$A$5:$A$69,$A44,Rural_2025!$P$5:$P$69)+SUMIF(Urbano_2025!$A$5:$A$53,$A44,Urbano_2025!$P$5:$P$53)</f>
        <v>32943.5</v>
      </c>
      <c r="M44" s="14">
        <f t="shared" si="10"/>
        <v>1</v>
      </c>
      <c r="N44" s="14">
        <f t="shared" si="11"/>
        <v>0.9002948740021699</v>
      </c>
      <c r="O44" s="13">
        <f>SUMIF(Rural_2026!$A$5:$A$69,$A44,Rural_2026!$O$5:$O$69)+SUMIF(Urbano_2026!$A$5:$A$53,$A44,Urbano_2026!$O$5:$O$53)</f>
        <v>36591.9</v>
      </c>
      <c r="P44" s="13">
        <f>SUMIF(Rural_2026!$A$5:$A$69,$A44,Rural_2026!$P$5:$P$69)+SUMIF(Urbano_2026!$A$5:$A$53,$A44,Urbano_2026!$P$5:$P$53)</f>
        <v>36591.9</v>
      </c>
      <c r="Q44" s="14">
        <f t="shared" si="12"/>
        <v>1</v>
      </c>
      <c r="R44" s="14">
        <f t="shared" si="13"/>
        <v>1</v>
      </c>
      <c r="S44" s="13">
        <f>SUMIF(Rural_2026!$A$5:$A$69,$A44,Rural_2026!$U$5:$U$69)+SUMIF(Urbano_2026!$A$5:$A$53,$A44,Urbano_2026!$U$5:$U$53)</f>
        <v>0</v>
      </c>
      <c r="T44" s="14">
        <f t="shared" si="14"/>
        <v>0</v>
      </c>
      <c r="U44" s="29">
        <f t="shared" si="15"/>
        <v>100</v>
      </c>
    </row>
    <row r="45" spans="1:21" ht="15" customHeight="1" x14ac:dyDescent="0.25">
      <c r="A45" s="8" t="s">
        <v>188</v>
      </c>
      <c r="B45" s="8" t="s">
        <v>189</v>
      </c>
      <c r="C45" s="8" t="s">
        <v>149</v>
      </c>
      <c r="D45" s="8" t="s">
        <v>161</v>
      </c>
      <c r="E45" s="13">
        <f>SUMIF(Rural_2026!$A$5:$A$69,$A45,Rural_2026!$H$5:$H$69)</f>
        <v>195844</v>
      </c>
      <c r="F45" s="13">
        <f>SUMIF(Urbano_2026!$A$5:$A$53,$A45,Urbano_2026!$H$5:$H$53)</f>
        <v>158.6</v>
      </c>
      <c r="G45" s="13">
        <f t="shared" si="8"/>
        <v>196002.6</v>
      </c>
      <c r="H45" s="13">
        <f>SUMIF(Rural_2024!$A$5:$A$61,$A45,Rural_2024!$O$5:$O$61)+SUMIF(Urbano_2024!$A$5:$A$53,$A45,Urbano_2024!$O$5:$O$53)</f>
        <v>0</v>
      </c>
      <c r="I45" s="14">
        <f t="shared" si="9"/>
        <v>0</v>
      </c>
      <c r="J45" s="13">
        <f>SUMIF(Rural_2024!$A$5:$A$61,$A45,Rural_2024!$R$5:$R$61)+SUMIF(Urbano_2024!$A$5:$A$53,$A45,Urbano_2024!$R$5:$R$53)</f>
        <v>0</v>
      </c>
      <c r="K45" s="13">
        <f>SUMIF(Rural_2025!$A$5:$A$69,$A45,Rural_2025!$O$5:$O$69)+SUMIF(Urbano_2025!$A$5:$A$53,$A45,Urbano_2025!$O$5:$O$53)</f>
        <v>158.6</v>
      </c>
      <c r="L45" s="13">
        <f>SUMIF(Rural_2025!$A$5:$A$69,$A45,Rural_2025!$P$5:$P$69)+SUMIF(Urbano_2025!$A$5:$A$53,$A45,Urbano_2025!$P$5:$P$53)</f>
        <v>196002.6</v>
      </c>
      <c r="M45" s="14">
        <f t="shared" si="10"/>
        <v>8.0917293954263871E-4</v>
      </c>
      <c r="N45" s="14">
        <f t="shared" si="11"/>
        <v>1</v>
      </c>
      <c r="O45" s="13">
        <f>SUMIF(Rural_2026!$A$5:$A$69,$A45,Rural_2026!$O$5:$O$69)+SUMIF(Urbano_2026!$A$5:$A$53,$A45,Urbano_2026!$O$5:$O$53)</f>
        <v>158.6</v>
      </c>
      <c r="P45" s="13">
        <f>SUMIF(Rural_2026!$A$5:$A$69,$A45,Rural_2026!$P$5:$P$69)+SUMIF(Urbano_2026!$A$5:$A$53,$A45,Urbano_2026!$P$5:$P$53)</f>
        <v>158.6</v>
      </c>
      <c r="Q45" s="14">
        <f t="shared" si="12"/>
        <v>8.0917293954263871E-4</v>
      </c>
      <c r="R45" s="14">
        <f t="shared" si="13"/>
        <v>8.0917293954263871E-4</v>
      </c>
      <c r="S45" s="13">
        <f>SUMIF(Rural_2026!$A$5:$A$69,$A45,Rural_2026!$U$5:$U$69)+SUMIF(Urbano_2026!$A$5:$A$53,$A45,Urbano_2026!$U$5:$U$53)</f>
        <v>71.37</v>
      </c>
      <c r="T45" s="14">
        <f t="shared" si="14"/>
        <v>3.6412782279418744E-4</v>
      </c>
      <c r="U45" s="29">
        <f t="shared" si="15"/>
        <v>8.0917293954263877E-2</v>
      </c>
    </row>
    <row r="46" spans="1:21" ht="15" customHeight="1" x14ac:dyDescent="0.25">
      <c r="A46" s="8" t="s">
        <v>190</v>
      </c>
      <c r="B46" s="8" t="s">
        <v>191</v>
      </c>
      <c r="C46" s="8" t="s">
        <v>149</v>
      </c>
      <c r="D46" s="8" t="s">
        <v>161</v>
      </c>
      <c r="E46" s="13">
        <f>SUMIF(Rural_2026!$A$5:$A$69,$A46,Rural_2026!$H$5:$H$69)</f>
        <v>24687</v>
      </c>
      <c r="F46" s="13">
        <f>SUMIF(Urbano_2026!$A$5:$A$53,$A46,Urbano_2026!$H$5:$H$53)</f>
        <v>41.6</v>
      </c>
      <c r="G46" s="13">
        <f t="shared" si="8"/>
        <v>24728.6</v>
      </c>
      <c r="H46" s="13">
        <f>SUMIF(Rural_2024!$A$5:$A$61,$A46,Rural_2024!$O$5:$O$61)+SUMIF(Urbano_2024!$A$5:$A$53,$A46,Urbano_2024!$O$5:$O$53)</f>
        <v>0</v>
      </c>
      <c r="I46" s="14">
        <f t="shared" si="9"/>
        <v>0</v>
      </c>
      <c r="J46" s="13">
        <f>SUMIF(Rural_2024!$A$5:$A$61,$A46,Rural_2024!$R$5:$R$61)+SUMIF(Urbano_2024!$A$5:$A$53,$A46,Urbano_2024!$R$5:$R$53)</f>
        <v>0</v>
      </c>
      <c r="K46" s="13">
        <f>SUMIF(Rural_2025!$A$5:$A$69,$A46,Rural_2025!$O$5:$O$69)+SUMIF(Urbano_2025!$A$5:$A$53,$A46,Urbano_2025!$O$5:$O$53)</f>
        <v>24728.6</v>
      </c>
      <c r="L46" s="13">
        <f>SUMIF(Rural_2025!$A$5:$A$69,$A46,Rural_2025!$P$5:$P$69)+SUMIF(Urbano_2025!$A$5:$A$53,$A46,Urbano_2025!$P$5:$P$53)</f>
        <v>41.6</v>
      </c>
      <c r="M46" s="14">
        <f t="shared" si="10"/>
        <v>1</v>
      </c>
      <c r="N46" s="14">
        <f t="shared" si="11"/>
        <v>1.6822626432551784E-3</v>
      </c>
      <c r="O46" s="13">
        <f>SUMIF(Rural_2026!$A$5:$A$69,$A46,Rural_2026!$O$5:$O$69)+SUMIF(Urbano_2026!$A$5:$A$53,$A46,Urbano_2026!$O$5:$O$53)</f>
        <v>24728.6</v>
      </c>
      <c r="P46" s="13">
        <f>SUMIF(Rural_2026!$A$5:$A$69,$A46,Rural_2026!$P$5:$P$69)+SUMIF(Urbano_2026!$A$5:$A$53,$A46,Urbano_2026!$P$5:$P$53)</f>
        <v>24728.6</v>
      </c>
      <c r="Q46" s="14">
        <f t="shared" si="12"/>
        <v>1</v>
      </c>
      <c r="R46" s="14">
        <f t="shared" si="13"/>
        <v>1</v>
      </c>
      <c r="S46" s="13">
        <f>SUMIF(Rural_2026!$A$5:$A$69,$A46,Rural_2026!$U$5:$U$69)+SUMIF(Urbano_2026!$A$5:$A$53,$A46,Urbano_2026!$U$5:$U$53)</f>
        <v>41.6</v>
      </c>
      <c r="T46" s="14">
        <f t="shared" si="14"/>
        <v>1.6822626432551784E-3</v>
      </c>
      <c r="U46" s="29">
        <f t="shared" si="15"/>
        <v>100</v>
      </c>
    </row>
    <row r="47" spans="1:21" ht="15" customHeight="1" x14ac:dyDescent="0.25">
      <c r="A47" s="8" t="s">
        <v>194</v>
      </c>
      <c r="B47" s="8" t="s">
        <v>195</v>
      </c>
      <c r="C47" s="8" t="s">
        <v>149</v>
      </c>
      <c r="D47" s="8" t="s">
        <v>161</v>
      </c>
      <c r="E47" s="13">
        <f>SUMIF(Rural_2026!$A$5:$A$69,$A47,Rural_2026!$H$5:$H$69)</f>
        <v>142539</v>
      </c>
      <c r="F47" s="13">
        <f>SUMIF(Urbano_2026!$A$5:$A$53,$A47,Urbano_2026!$H$5:$H$53)</f>
        <v>349.7</v>
      </c>
      <c r="G47" s="13">
        <f t="shared" si="8"/>
        <v>142888.70000000001</v>
      </c>
      <c r="H47" s="13">
        <f>SUMIF(Rural_2024!$A$5:$A$61,$A47,Rural_2024!$O$5:$O$61)+SUMIF(Urbano_2024!$A$5:$A$53,$A47,Urbano_2024!$O$5:$O$53)</f>
        <v>0</v>
      </c>
      <c r="I47" s="14">
        <f t="shared" si="9"/>
        <v>0</v>
      </c>
      <c r="J47" s="13">
        <f>SUMIF(Rural_2024!$A$5:$A$61,$A47,Rural_2024!$R$5:$R$61)+SUMIF(Urbano_2024!$A$5:$A$53,$A47,Urbano_2024!$R$5:$R$53)</f>
        <v>0</v>
      </c>
      <c r="K47" s="13">
        <f>SUMIF(Rural_2025!$A$5:$A$69,$A47,Rural_2025!$O$5:$O$69)+SUMIF(Urbano_2025!$A$5:$A$53,$A47,Urbano_2025!$O$5:$O$53)</f>
        <v>349.7</v>
      </c>
      <c r="L47" s="13">
        <f>SUMIF(Rural_2025!$A$5:$A$69,$A47,Rural_2025!$P$5:$P$69)+SUMIF(Urbano_2025!$A$5:$A$53,$A47,Urbano_2025!$P$5:$P$53)</f>
        <v>142888.70000000001</v>
      </c>
      <c r="M47" s="14">
        <f t="shared" si="10"/>
        <v>2.4473593783133304E-3</v>
      </c>
      <c r="N47" s="14">
        <f t="shared" si="11"/>
        <v>1</v>
      </c>
      <c r="O47" s="13">
        <f>SUMIF(Rural_2026!$A$5:$A$69,$A47,Rural_2026!$O$5:$O$69)+SUMIF(Urbano_2026!$A$5:$A$53,$A47,Urbano_2026!$O$5:$O$53)</f>
        <v>349.7</v>
      </c>
      <c r="P47" s="13">
        <f>SUMIF(Rural_2026!$A$5:$A$69,$A47,Rural_2026!$P$5:$P$69)+SUMIF(Urbano_2026!$A$5:$A$53,$A47,Urbano_2026!$P$5:$P$53)</f>
        <v>349.7</v>
      </c>
      <c r="Q47" s="14">
        <f t="shared" si="12"/>
        <v>2.4473593783133304E-3</v>
      </c>
      <c r="R47" s="14">
        <f t="shared" si="13"/>
        <v>2.4473593783133304E-3</v>
      </c>
      <c r="S47" s="13">
        <f>SUMIF(Rural_2026!$A$5:$A$69,$A47,Rural_2026!$U$5:$U$69)+SUMIF(Urbano_2026!$A$5:$A$53,$A47,Urbano_2026!$U$5:$U$53)</f>
        <v>0</v>
      </c>
      <c r="T47" s="14">
        <f t="shared" si="14"/>
        <v>0</v>
      </c>
      <c r="U47" s="29">
        <f t="shared" si="15"/>
        <v>0.24473593783133304</v>
      </c>
    </row>
    <row r="48" spans="1:21" ht="15" customHeight="1" x14ac:dyDescent="0.25">
      <c r="A48" s="8" t="s">
        <v>196</v>
      </c>
      <c r="B48" s="8" t="s">
        <v>197</v>
      </c>
      <c r="C48" s="8" t="s">
        <v>149</v>
      </c>
      <c r="D48" s="8" t="s">
        <v>161</v>
      </c>
      <c r="E48" s="13">
        <f>SUMIF(Rural_2026!$A$5:$A$69,$A48,Rural_2026!$H$5:$H$69)</f>
        <v>9349</v>
      </c>
      <c r="F48" s="13">
        <f>SUMIF(Urbano_2026!$A$5:$A$53,$A48,Urbano_2026!$H$5:$H$53)</f>
        <v>62.22</v>
      </c>
      <c r="G48" s="13">
        <f t="shared" si="8"/>
        <v>9411.2199999999993</v>
      </c>
      <c r="H48" s="13">
        <f>SUMIF(Rural_2024!$A$5:$A$61,$A48,Rural_2024!$O$5:$O$61)+SUMIF(Urbano_2024!$A$5:$A$53,$A48,Urbano_2024!$O$5:$O$53)</f>
        <v>27.998999999999999</v>
      </c>
      <c r="I48" s="14">
        <f t="shared" si="9"/>
        <v>2.9750659319408112E-3</v>
      </c>
      <c r="J48" s="13">
        <f>SUMIF(Rural_2024!$A$5:$A$61,$A48,Rural_2024!$R$5:$R$61)+SUMIF(Urbano_2024!$A$5:$A$53,$A48,Urbano_2024!$R$5:$R$53)</f>
        <v>23.661126760563381</v>
      </c>
      <c r="K48" s="13">
        <f>SUMIF(Rural_2025!$A$5:$A$69,$A48,Rural_2025!$O$5:$O$69)+SUMIF(Urbano_2025!$A$5:$A$53,$A48,Urbano_2025!$O$5:$O$53)</f>
        <v>9411.2199999999993</v>
      </c>
      <c r="L48" s="13">
        <f>SUMIF(Rural_2025!$A$5:$A$69,$A48,Rural_2025!$P$5:$P$69)+SUMIF(Urbano_2025!$A$5:$A$53,$A48,Urbano_2025!$P$5:$P$53)</f>
        <v>62.22</v>
      </c>
      <c r="M48" s="14">
        <f t="shared" si="10"/>
        <v>1</v>
      </c>
      <c r="N48" s="14">
        <f t="shared" si="11"/>
        <v>6.611257626535136E-3</v>
      </c>
      <c r="O48" s="13">
        <f>SUMIF(Rural_2026!$A$5:$A$69,$A48,Rural_2026!$O$5:$O$69)+SUMIF(Urbano_2026!$A$5:$A$53,$A48,Urbano_2026!$O$5:$O$53)</f>
        <v>9411.2199999999993</v>
      </c>
      <c r="P48" s="13">
        <f>SUMIF(Rural_2026!$A$5:$A$69,$A48,Rural_2026!$P$5:$P$69)+SUMIF(Urbano_2026!$A$5:$A$53,$A48,Urbano_2026!$P$5:$P$53)</f>
        <v>9411.2199999999993</v>
      </c>
      <c r="Q48" s="14">
        <f t="shared" si="12"/>
        <v>1</v>
      </c>
      <c r="R48" s="14">
        <f t="shared" si="13"/>
        <v>1</v>
      </c>
      <c r="S48" s="13">
        <f>SUMIF(Rural_2026!$A$5:$A$69,$A48,Rural_2026!$U$5:$U$69)+SUMIF(Urbano_2026!$A$5:$A$53,$A48,Urbano_2026!$U$5:$U$53)</f>
        <v>4235.049</v>
      </c>
      <c r="T48" s="14">
        <f t="shared" si="14"/>
        <v>0.45</v>
      </c>
      <c r="U48" s="29">
        <f t="shared" si="15"/>
        <v>99.702493406805914</v>
      </c>
    </row>
    <row r="49" spans="1:21" ht="15" customHeight="1" x14ac:dyDescent="0.25">
      <c r="A49" s="8" t="s">
        <v>200</v>
      </c>
      <c r="B49" s="8" t="s">
        <v>201</v>
      </c>
      <c r="C49" s="8" t="s">
        <v>149</v>
      </c>
      <c r="D49" s="8" t="s">
        <v>161</v>
      </c>
      <c r="E49" s="13">
        <f>SUMIF(Rural_2026!$A$5:$A$69,$A49,Rural_2026!$H$5:$H$69)</f>
        <v>11493</v>
      </c>
      <c r="F49" s="13">
        <f>SUMIF(Urbano_2026!$A$5:$A$53,$A49,Urbano_2026!$H$5:$H$53)</f>
        <v>62.4</v>
      </c>
      <c r="G49" s="13">
        <f t="shared" si="8"/>
        <v>11555.4</v>
      </c>
      <c r="H49" s="13">
        <f>SUMIF(Rural_2024!$A$5:$A$61,$A49,Rural_2024!$O$5:$O$61)+SUMIF(Urbano_2024!$A$5:$A$53,$A49,Urbano_2024!$O$5:$O$53)</f>
        <v>0</v>
      </c>
      <c r="I49" s="14">
        <f t="shared" si="9"/>
        <v>0</v>
      </c>
      <c r="J49" s="13">
        <f>SUMIF(Rural_2024!$A$5:$A$61,$A49,Rural_2024!$R$5:$R$61)+SUMIF(Urbano_2024!$A$5:$A$53,$A49,Urbano_2024!$R$5:$R$53)</f>
        <v>0</v>
      </c>
      <c r="K49" s="13">
        <f>SUMIF(Rural_2025!$A$5:$A$69,$A49,Rural_2025!$O$5:$O$69)+SUMIF(Urbano_2025!$A$5:$A$53,$A49,Urbano_2025!$O$5:$O$53)</f>
        <v>10406.1</v>
      </c>
      <c r="L49" s="13">
        <f>SUMIF(Rural_2025!$A$5:$A$69,$A49,Rural_2025!$P$5:$P$69)+SUMIF(Urbano_2025!$A$5:$A$53,$A49,Urbano_2025!$P$5:$P$53)</f>
        <v>62.4</v>
      </c>
      <c r="M49" s="14">
        <f t="shared" si="10"/>
        <v>0.9005400072693287</v>
      </c>
      <c r="N49" s="14">
        <f t="shared" si="11"/>
        <v>5.4000726932862562E-3</v>
      </c>
      <c r="O49" s="13">
        <f>SUMIF(Rural_2026!$A$5:$A$69,$A49,Rural_2026!$O$5:$O$69)+SUMIF(Urbano_2026!$A$5:$A$53,$A49,Urbano_2026!$O$5:$O$53)</f>
        <v>11555.4</v>
      </c>
      <c r="P49" s="13">
        <f>SUMIF(Rural_2026!$A$5:$A$69,$A49,Rural_2026!$P$5:$P$69)+SUMIF(Urbano_2026!$A$5:$A$53,$A49,Urbano_2026!$P$5:$P$53)</f>
        <v>62.4</v>
      </c>
      <c r="Q49" s="14">
        <f t="shared" si="12"/>
        <v>1</v>
      </c>
      <c r="R49" s="14">
        <f t="shared" si="13"/>
        <v>5.4000726932862562E-3</v>
      </c>
      <c r="S49" s="13">
        <f>SUMIF(Rural_2026!$A$5:$A$69,$A49,Rural_2026!$U$5:$U$69)+SUMIF(Urbano_2026!$A$5:$A$53,$A49,Urbano_2026!$U$5:$U$53)</f>
        <v>0</v>
      </c>
      <c r="T49" s="14">
        <f t="shared" si="14"/>
        <v>0</v>
      </c>
      <c r="U49" s="29">
        <f t="shared" si="15"/>
        <v>100</v>
      </c>
    </row>
    <row r="50" spans="1:21" ht="15" customHeight="1" x14ac:dyDescent="0.25">
      <c r="A50" s="8" t="s">
        <v>202</v>
      </c>
      <c r="B50" s="8" t="s">
        <v>203</v>
      </c>
      <c r="C50" s="8" t="s">
        <v>149</v>
      </c>
      <c r="D50" s="8" t="s">
        <v>161</v>
      </c>
      <c r="E50" s="13">
        <f>SUMIF(Rural_2026!$A$5:$A$69,$A50,Rural_2026!$H$5:$H$69)</f>
        <v>21639</v>
      </c>
      <c r="F50" s="13">
        <f>SUMIF(Urbano_2026!$A$5:$A$53,$A50,Urbano_2026!$H$5:$H$53)</f>
        <v>52</v>
      </c>
      <c r="G50" s="13">
        <f t="shared" si="8"/>
        <v>21691</v>
      </c>
      <c r="H50" s="13">
        <f>SUMIF(Rural_2024!$A$5:$A$61,$A50,Rural_2024!$O$5:$O$61)+SUMIF(Urbano_2024!$A$5:$A$53,$A50,Urbano_2024!$O$5:$O$53)</f>
        <v>0</v>
      </c>
      <c r="I50" s="14">
        <f t="shared" si="9"/>
        <v>0</v>
      </c>
      <c r="J50" s="13">
        <f>SUMIF(Rural_2024!$A$5:$A$61,$A50,Rural_2024!$R$5:$R$61)+SUMIF(Urbano_2024!$A$5:$A$53,$A50,Urbano_2024!$R$5:$R$53)</f>
        <v>0</v>
      </c>
      <c r="K50" s="13">
        <f>SUMIF(Rural_2025!$A$5:$A$69,$A50,Rural_2025!$O$5:$O$69)+SUMIF(Urbano_2025!$A$5:$A$53,$A50,Urbano_2025!$O$5:$O$53)</f>
        <v>19527.100000000002</v>
      </c>
      <c r="L50" s="13">
        <f>SUMIF(Rural_2025!$A$5:$A$69,$A50,Rural_2025!$P$5:$P$69)+SUMIF(Urbano_2025!$A$5:$A$53,$A50,Urbano_2025!$P$5:$P$53)</f>
        <v>52</v>
      </c>
      <c r="M50" s="14">
        <f t="shared" si="10"/>
        <v>0.90023973076391139</v>
      </c>
      <c r="N50" s="14">
        <f t="shared" si="11"/>
        <v>2.397307639112996E-3</v>
      </c>
      <c r="O50" s="13">
        <f>SUMIF(Rural_2026!$A$5:$A$69,$A50,Rural_2026!$O$5:$O$69)+SUMIF(Urbano_2026!$A$5:$A$53,$A50,Urbano_2026!$O$5:$O$53)</f>
        <v>21691</v>
      </c>
      <c r="P50" s="13">
        <f>SUMIF(Rural_2026!$A$5:$A$69,$A50,Rural_2026!$P$5:$P$69)+SUMIF(Urbano_2026!$A$5:$A$53,$A50,Urbano_2026!$P$5:$P$53)</f>
        <v>21691</v>
      </c>
      <c r="Q50" s="14">
        <f t="shared" si="12"/>
        <v>1</v>
      </c>
      <c r="R50" s="14">
        <f t="shared" si="13"/>
        <v>1</v>
      </c>
      <c r="S50" s="13">
        <f>SUMIF(Rural_2026!$A$5:$A$69,$A50,Rural_2026!$U$5:$U$69)+SUMIF(Urbano_2026!$A$5:$A$53,$A50,Urbano_2026!$U$5:$U$53)</f>
        <v>23.400000000000002</v>
      </c>
      <c r="T50" s="14">
        <f t="shared" si="14"/>
        <v>1.0787884376008484E-3</v>
      </c>
      <c r="U50" s="29">
        <f t="shared" si="15"/>
        <v>100</v>
      </c>
    </row>
    <row r="51" spans="1:21" ht="15" customHeight="1" x14ac:dyDescent="0.25">
      <c r="A51" s="8" t="s">
        <v>210</v>
      </c>
      <c r="B51" s="8" t="s">
        <v>211</v>
      </c>
      <c r="C51" s="8" t="s">
        <v>149</v>
      </c>
      <c r="D51" s="8" t="s">
        <v>161</v>
      </c>
      <c r="E51" s="13">
        <f>SUMIF(Rural_2026!$A$5:$A$69,$A51,Rural_2026!$H$5:$H$69)</f>
        <v>9952.2000000000007</v>
      </c>
      <c r="F51" s="13">
        <f>SUMIF(Urbano_2026!$A$5:$A$53,$A51,Urbano_2026!$H$5:$H$53)</f>
        <v>11.21</v>
      </c>
      <c r="G51" s="13">
        <f t="shared" si="8"/>
        <v>9963.41</v>
      </c>
      <c r="H51" s="13">
        <f>SUMIF(Rural_2024!$A$5:$A$61,$A51,Rural_2024!$O$5:$O$61)+SUMIF(Urbano_2024!$A$5:$A$53,$A51,Urbano_2024!$O$5:$O$53)</f>
        <v>8967.0690000000013</v>
      </c>
      <c r="I51" s="14">
        <f t="shared" si="9"/>
        <v>0.90000000000000013</v>
      </c>
      <c r="J51" s="13">
        <f>SUMIF(Rural_2024!$A$5:$A$61,$A51,Rural_2024!$R$5:$R$61)+SUMIF(Urbano_2024!$A$5:$A$53,$A51,Urbano_2024!$R$5:$R$53)</f>
        <v>8933.8720689655165</v>
      </c>
      <c r="K51" s="13">
        <f>SUMIF(Rural_2025!$A$5:$A$69,$A51,Rural_2025!$O$5:$O$69)+SUMIF(Urbano_2025!$A$5:$A$53,$A51,Urbano_2025!$O$5:$O$53)</f>
        <v>9963.41</v>
      </c>
      <c r="L51" s="13">
        <f>SUMIF(Rural_2025!$A$5:$A$69,$A51,Rural_2025!$P$5:$P$69)+SUMIF(Urbano_2025!$A$5:$A$53,$A51,Urbano_2025!$P$5:$P$53)</f>
        <v>9963.41</v>
      </c>
      <c r="M51" s="14">
        <f t="shared" si="10"/>
        <v>1</v>
      </c>
      <c r="N51" s="14">
        <f t="shared" si="11"/>
        <v>1</v>
      </c>
      <c r="O51" s="13">
        <f>SUMIF(Rural_2026!$A$5:$A$69,$A51,Rural_2026!$O$5:$O$69)+SUMIF(Urbano_2026!$A$5:$A$53,$A51,Urbano_2026!$O$5:$O$53)</f>
        <v>9963.41</v>
      </c>
      <c r="P51" s="13">
        <f>SUMIF(Rural_2026!$A$5:$A$69,$A51,Rural_2026!$P$5:$P$69)+SUMIF(Urbano_2026!$A$5:$A$53,$A51,Urbano_2026!$P$5:$P$53)</f>
        <v>9963.41</v>
      </c>
      <c r="Q51" s="14">
        <f t="shared" si="12"/>
        <v>1</v>
      </c>
      <c r="R51" s="14">
        <f t="shared" si="13"/>
        <v>1</v>
      </c>
      <c r="S51" s="13">
        <f>SUMIF(Rural_2026!$A$5:$A$69,$A51,Rural_2026!$U$5:$U$69)+SUMIF(Urbano_2026!$A$5:$A$53,$A51,Urbano_2026!$U$5:$U$53)</f>
        <v>5.0445000000000002</v>
      </c>
      <c r="T51" s="14">
        <f t="shared" si="14"/>
        <v>5.0630256107095871E-4</v>
      </c>
      <c r="U51" s="29">
        <f t="shared" si="15"/>
        <v>9.9999999999999858</v>
      </c>
    </row>
    <row r="52" spans="1:21" ht="15" customHeight="1" x14ac:dyDescent="0.25">
      <c r="A52" s="8" t="s">
        <v>212</v>
      </c>
      <c r="B52" s="8" t="s">
        <v>213</v>
      </c>
      <c r="C52" s="8" t="s">
        <v>149</v>
      </c>
      <c r="D52" s="8" t="s">
        <v>161</v>
      </c>
      <c r="E52" s="13">
        <f>SUMIF(Rural_2026!$A$5:$A$69,$A52,Rural_2026!$H$5:$H$69)</f>
        <v>43404</v>
      </c>
      <c r="F52" s="13">
        <f>SUMIF(Urbano_2026!$A$5:$A$53,$A52,Urbano_2026!$H$5:$H$53)</f>
        <v>57.2</v>
      </c>
      <c r="G52" s="13">
        <f t="shared" si="8"/>
        <v>43461.2</v>
      </c>
      <c r="H52" s="13">
        <f>SUMIF(Rural_2024!$A$5:$A$61,$A52,Rural_2024!$O$5:$O$61)+SUMIF(Urbano_2024!$A$5:$A$53,$A52,Urbano_2024!$O$5:$O$53)</f>
        <v>0</v>
      </c>
      <c r="I52" s="14">
        <f t="shared" si="9"/>
        <v>0</v>
      </c>
      <c r="J52" s="13">
        <f>SUMIF(Rural_2024!$A$5:$A$61,$A52,Rural_2024!$R$5:$R$61)+SUMIF(Urbano_2024!$A$5:$A$53,$A52,Urbano_2024!$R$5:$R$53)</f>
        <v>0</v>
      </c>
      <c r="K52" s="13">
        <f>SUMIF(Rural_2025!$A$5:$A$69,$A52,Rural_2025!$O$5:$O$69)+SUMIF(Urbano_2025!$A$5:$A$53,$A52,Urbano_2025!$O$5:$O$53)</f>
        <v>39120.799999999996</v>
      </c>
      <c r="L52" s="13">
        <f>SUMIF(Rural_2025!$A$5:$A$69,$A52,Rural_2025!$P$5:$P$69)+SUMIF(Urbano_2025!$A$5:$A$53,$A52,Urbano_2025!$P$5:$P$53)</f>
        <v>39120.799999999996</v>
      </c>
      <c r="M52" s="14">
        <f t="shared" si="10"/>
        <v>0.90013161164440925</v>
      </c>
      <c r="N52" s="14">
        <f t="shared" si="11"/>
        <v>0.90013161164440925</v>
      </c>
      <c r="O52" s="13">
        <f>SUMIF(Rural_2026!$A$5:$A$69,$A52,Rural_2026!$O$5:$O$69)+SUMIF(Urbano_2026!$A$5:$A$53,$A52,Urbano_2026!$O$5:$O$53)</f>
        <v>43461.2</v>
      </c>
      <c r="P52" s="13">
        <f>SUMIF(Rural_2026!$A$5:$A$69,$A52,Rural_2026!$P$5:$P$69)+SUMIF(Urbano_2026!$A$5:$A$53,$A52,Urbano_2026!$P$5:$P$53)</f>
        <v>43461.2</v>
      </c>
      <c r="Q52" s="14">
        <f t="shared" si="12"/>
        <v>1</v>
      </c>
      <c r="R52" s="14">
        <f t="shared" si="13"/>
        <v>1</v>
      </c>
      <c r="S52" s="13">
        <f>SUMIF(Rural_2026!$A$5:$A$69,$A52,Rural_2026!$U$5:$U$69)+SUMIF(Urbano_2026!$A$5:$A$53,$A52,Urbano_2026!$U$5:$U$53)</f>
        <v>25.740000000000002</v>
      </c>
      <c r="T52" s="14">
        <f t="shared" si="14"/>
        <v>5.9225239984169798E-4</v>
      </c>
      <c r="U52" s="29">
        <f t="shared" si="15"/>
        <v>100</v>
      </c>
    </row>
    <row r="53" spans="1:21" ht="15" customHeight="1" x14ac:dyDescent="0.25">
      <c r="A53" s="8" t="s">
        <v>147</v>
      </c>
      <c r="B53" s="8" t="s">
        <v>148</v>
      </c>
      <c r="C53" s="8" t="s">
        <v>149</v>
      </c>
      <c r="D53" s="8" t="s">
        <v>150</v>
      </c>
      <c r="E53" s="13">
        <f>SUMIF(Rural_2026!$A$5:$A$69,$A53,Rural_2026!$H$5:$H$69)</f>
        <v>26573</v>
      </c>
      <c r="F53" s="13">
        <f>SUMIF(Urbano_2026!$A$5:$A$53,$A53,Urbano_2026!$H$5:$H$53)</f>
        <v>161.19999999999999</v>
      </c>
      <c r="G53" s="13">
        <f t="shared" si="8"/>
        <v>26734.2</v>
      </c>
      <c r="H53" s="13">
        <f>SUMIF(Rural_2024!$A$5:$A$61,$A53,Rural_2024!$O$5:$O$61)+SUMIF(Urbano_2024!$A$5:$A$53,$A53,Urbano_2024!$O$5:$O$53)</f>
        <v>0</v>
      </c>
      <c r="I53" s="14">
        <f t="shared" si="9"/>
        <v>0</v>
      </c>
      <c r="J53" s="13">
        <f>SUMIF(Rural_2024!$A$5:$A$61,$A53,Rural_2024!$R$5:$R$61)+SUMIF(Urbano_2024!$A$5:$A$53,$A53,Urbano_2024!$R$5:$R$53)</f>
        <v>0</v>
      </c>
      <c r="K53" s="13">
        <f>SUMIF(Rural_2025!$A$5:$A$69,$A53,Rural_2025!$O$5:$O$69)+SUMIF(Urbano_2025!$A$5:$A$53,$A53,Urbano_2025!$O$5:$O$53)</f>
        <v>24076.9</v>
      </c>
      <c r="L53" s="13">
        <f>SUMIF(Rural_2025!$A$5:$A$69,$A53,Rural_2025!$P$5:$P$69)+SUMIF(Urbano_2025!$A$5:$A$53,$A53,Urbano_2025!$P$5:$P$53)</f>
        <v>12119.050000000001</v>
      </c>
      <c r="M53" s="14">
        <f t="shared" si="10"/>
        <v>0.90060297297095104</v>
      </c>
      <c r="N53" s="14">
        <f t="shared" si="11"/>
        <v>0.45331635134023091</v>
      </c>
      <c r="O53" s="13">
        <f>SUMIF(Rural_2026!$A$5:$A$69,$A53,Rural_2026!$O$5:$O$69)+SUMIF(Urbano_2026!$A$5:$A$53,$A53,Urbano_2026!$O$5:$O$53)</f>
        <v>26734.2</v>
      </c>
      <c r="P53" s="13">
        <f>SUMIF(Rural_2026!$A$5:$A$69,$A53,Rural_2026!$P$5:$P$69)+SUMIF(Urbano_2026!$A$5:$A$53,$A53,Urbano_2026!$P$5:$P$53)</f>
        <v>26734.2</v>
      </c>
      <c r="Q53" s="14">
        <f t="shared" si="12"/>
        <v>1</v>
      </c>
      <c r="R53" s="14">
        <f t="shared" si="13"/>
        <v>1</v>
      </c>
      <c r="S53" s="13">
        <f>SUMIF(Rural_2026!$A$5:$A$69,$A53,Rural_2026!$U$5:$U$69)+SUMIF(Urbano_2026!$A$5:$A$53,$A53,Urbano_2026!$U$5:$U$53)</f>
        <v>72.539999999999992</v>
      </c>
      <c r="T53" s="14">
        <f t="shared" si="14"/>
        <v>2.7133783692797984E-3</v>
      </c>
      <c r="U53" s="29">
        <f t="shared" si="15"/>
        <v>100</v>
      </c>
    </row>
    <row r="54" spans="1:21" ht="15" customHeight="1" x14ac:dyDescent="0.25">
      <c r="A54" s="8" t="s">
        <v>151</v>
      </c>
      <c r="B54" s="8" t="s">
        <v>152</v>
      </c>
      <c r="C54" s="8" t="s">
        <v>149</v>
      </c>
      <c r="D54" s="8" t="s">
        <v>150</v>
      </c>
      <c r="E54" s="13">
        <f>SUMIF(Rural_2026!$A$5:$A$69,$A54,Rural_2026!$H$5:$H$69)</f>
        <v>17256</v>
      </c>
      <c r="F54" s="13">
        <f>SUMIF(Urbano_2026!$A$5:$A$53,$A54,Urbano_2026!$H$5:$H$53)</f>
        <v>331.5</v>
      </c>
      <c r="G54" s="13">
        <f t="shared" si="8"/>
        <v>17587.5</v>
      </c>
      <c r="H54" s="13">
        <f>SUMIF(Rural_2024!$A$5:$A$61,$A54,Rural_2024!$O$5:$O$61)+SUMIF(Urbano_2024!$A$5:$A$53,$A54,Urbano_2024!$O$5:$O$53)</f>
        <v>0</v>
      </c>
      <c r="I54" s="14">
        <f t="shared" si="9"/>
        <v>0</v>
      </c>
      <c r="J54" s="13">
        <f>SUMIF(Rural_2024!$A$5:$A$61,$A54,Rural_2024!$R$5:$R$61)+SUMIF(Urbano_2024!$A$5:$A$53,$A54,Urbano_2024!$R$5:$R$53)</f>
        <v>0</v>
      </c>
      <c r="K54" s="13">
        <f>SUMIF(Rural_2025!$A$5:$A$69,$A54,Rural_2025!$O$5:$O$69)+SUMIF(Urbano_2025!$A$5:$A$53,$A54,Urbano_2025!$O$5:$O$53)</f>
        <v>15861.9</v>
      </c>
      <c r="L54" s="13">
        <f>SUMIF(Rural_2025!$A$5:$A$69,$A54,Rural_2025!$P$5:$P$69)+SUMIF(Urbano_2025!$A$5:$A$53,$A54,Urbano_2025!$P$5:$P$53)</f>
        <v>331.5</v>
      </c>
      <c r="M54" s="14">
        <f t="shared" si="10"/>
        <v>0.90188486140724944</v>
      </c>
      <c r="N54" s="14">
        <f t="shared" si="11"/>
        <v>1.884861407249467E-2</v>
      </c>
      <c r="O54" s="13">
        <f>SUMIF(Rural_2026!$A$5:$A$69,$A54,Rural_2026!$O$5:$O$69)+SUMIF(Urbano_2026!$A$5:$A$53,$A54,Urbano_2026!$O$5:$O$53)</f>
        <v>17587.5</v>
      </c>
      <c r="P54" s="13">
        <f>SUMIF(Rural_2026!$A$5:$A$69,$A54,Rural_2026!$P$5:$P$69)+SUMIF(Urbano_2026!$A$5:$A$53,$A54,Urbano_2026!$P$5:$P$53)</f>
        <v>15861.9</v>
      </c>
      <c r="Q54" s="14">
        <f t="shared" si="12"/>
        <v>1</v>
      </c>
      <c r="R54" s="14">
        <f t="shared" si="13"/>
        <v>0.90188486140724944</v>
      </c>
      <c r="S54" s="13">
        <f>SUMIF(Rural_2026!$A$5:$A$69,$A54,Rural_2026!$U$5:$U$69)+SUMIF(Urbano_2026!$A$5:$A$53,$A54,Urbano_2026!$U$5:$U$53)</f>
        <v>0</v>
      </c>
      <c r="T54" s="14">
        <f t="shared" si="14"/>
        <v>0</v>
      </c>
      <c r="U54" s="29">
        <f t="shared" si="15"/>
        <v>100</v>
      </c>
    </row>
    <row r="55" spans="1:21" ht="15" customHeight="1" x14ac:dyDescent="0.25">
      <c r="A55" s="8" t="s">
        <v>153</v>
      </c>
      <c r="B55" s="8" t="s">
        <v>154</v>
      </c>
      <c r="C55" s="8" t="s">
        <v>149</v>
      </c>
      <c r="D55" s="8" t="s">
        <v>150</v>
      </c>
      <c r="E55" s="13">
        <f>SUMIF(Rural_2026!$A$5:$A$69,$A55,Rural_2026!$H$5:$H$69)</f>
        <v>53606.96</v>
      </c>
      <c r="F55" s="13">
        <f>SUMIF(Urbano_2026!$A$5:$A$53,$A55,Urbano_2026!$H$5:$H$53)</f>
        <v>371.25</v>
      </c>
      <c r="G55" s="13">
        <f t="shared" si="8"/>
        <v>53978.21</v>
      </c>
      <c r="H55" s="13">
        <f>SUMIF(Rural_2024!$A$5:$A$61,$A55,Rural_2024!$O$5:$O$61)+SUMIF(Urbano_2024!$A$5:$A$53,$A55,Urbano_2024!$O$5:$O$53)</f>
        <v>48580.389000000003</v>
      </c>
      <c r="I55" s="14">
        <f t="shared" si="9"/>
        <v>0.9</v>
      </c>
      <c r="J55" s="13">
        <f>SUMIF(Rural_2024!$A$5:$A$61,$A55,Rural_2024!$R$5:$R$61)+SUMIF(Urbano_2024!$A$5:$A$53,$A55,Urbano_2024!$R$5:$R$53)</f>
        <v>48399.87911854103</v>
      </c>
      <c r="K55" s="13">
        <f>SUMIF(Rural_2025!$A$5:$A$69,$A55,Rural_2025!$O$5:$O$69)+SUMIF(Urbano_2025!$A$5:$A$53,$A55,Urbano_2025!$O$5:$O$53)</f>
        <v>53978.21</v>
      </c>
      <c r="L55" s="13">
        <f>SUMIF(Rural_2025!$A$5:$A$69,$A55,Rural_2025!$P$5:$P$69)+SUMIF(Urbano_2025!$A$5:$A$53,$A55,Urbano_2025!$P$5:$P$53)</f>
        <v>53978.21</v>
      </c>
      <c r="M55" s="14">
        <f t="shared" si="10"/>
        <v>1</v>
      </c>
      <c r="N55" s="14">
        <f t="shared" si="11"/>
        <v>1</v>
      </c>
      <c r="O55" s="13">
        <f>SUMIF(Rural_2026!$A$5:$A$69,$A55,Rural_2026!$O$5:$O$69)+SUMIF(Urbano_2026!$A$5:$A$53,$A55,Urbano_2026!$O$5:$O$53)</f>
        <v>53978.21</v>
      </c>
      <c r="P55" s="13">
        <f>SUMIF(Rural_2026!$A$5:$A$69,$A55,Rural_2026!$P$5:$P$69)+SUMIF(Urbano_2026!$A$5:$A$53,$A55,Urbano_2026!$P$5:$P$53)</f>
        <v>53978.21</v>
      </c>
      <c r="Q55" s="14">
        <f t="shared" si="12"/>
        <v>1</v>
      </c>
      <c r="R55" s="14">
        <f t="shared" si="13"/>
        <v>1</v>
      </c>
      <c r="S55" s="13">
        <f>SUMIF(Rural_2026!$A$5:$A$69,$A55,Rural_2026!$U$5:$U$69)+SUMIF(Urbano_2026!$A$5:$A$53,$A55,Urbano_2026!$U$5:$U$53)</f>
        <v>167.0625</v>
      </c>
      <c r="T55" s="14">
        <f t="shared" si="14"/>
        <v>3.094998889366654E-3</v>
      </c>
      <c r="U55" s="29">
        <f t="shared" si="15"/>
        <v>9.9999999999999982</v>
      </c>
    </row>
    <row r="56" spans="1:21" ht="15" customHeight="1" x14ac:dyDescent="0.25">
      <c r="A56" s="8" t="s">
        <v>244</v>
      </c>
      <c r="B56" s="8" t="s">
        <v>245</v>
      </c>
      <c r="C56" s="8" t="s">
        <v>149</v>
      </c>
      <c r="D56" s="8" t="s">
        <v>161</v>
      </c>
      <c r="E56" s="13">
        <f>SUMIF(Rural_2026!$A$5:$A$69,$A56,Rural_2026!$H$5:$H$69)</f>
        <v>26594</v>
      </c>
      <c r="F56" s="13">
        <f>SUMIF(Urbano_2026!$A$5:$A$53,$A56,Urbano_2026!$H$5:$H$53)</f>
        <v>33.799999999999997</v>
      </c>
      <c r="G56" s="13">
        <f t="shared" si="8"/>
        <v>26627.8</v>
      </c>
      <c r="H56" s="13">
        <f>SUMIF(Rural_2024!$A$5:$A$61,$A56,Rural_2024!$O$5:$O$61)+SUMIF(Urbano_2024!$A$5:$A$53,$A56,Urbano_2024!$O$5:$O$53)</f>
        <v>0</v>
      </c>
      <c r="I56" s="14">
        <f t="shared" si="9"/>
        <v>0</v>
      </c>
      <c r="J56" s="13">
        <f>SUMIF(Rural_2024!$A$5:$A$61,$A56,Rural_2024!$R$5:$R$61)+SUMIF(Urbano_2024!$A$5:$A$53,$A56,Urbano_2024!$R$5:$R$53)</f>
        <v>0</v>
      </c>
      <c r="K56" s="13">
        <f>SUMIF(Rural_2025!$A$5:$A$69,$A56,Rural_2025!$O$5:$O$69)+SUMIF(Urbano_2025!$A$5:$A$53,$A56,Urbano_2025!$O$5:$O$53)</f>
        <v>23968.400000000001</v>
      </c>
      <c r="L56" s="13">
        <f>SUMIF(Rural_2025!$A$5:$A$69,$A56,Rural_2025!$P$5:$P$69)+SUMIF(Urbano_2025!$A$5:$A$53,$A56,Urbano_2025!$P$5:$P$53)</f>
        <v>23968.400000000001</v>
      </c>
      <c r="M56" s="14">
        <f t="shared" si="10"/>
        <v>0.90012693500777397</v>
      </c>
      <c r="N56" s="14">
        <f t="shared" si="11"/>
        <v>0.90012693500777397</v>
      </c>
      <c r="O56" s="13">
        <f>SUMIF(Rural_2026!$A$5:$A$69,$A56,Rural_2026!$O$5:$O$69)+SUMIF(Urbano_2026!$A$5:$A$53,$A56,Urbano_2026!$O$5:$O$53)</f>
        <v>26627.8</v>
      </c>
      <c r="P56" s="13">
        <f>SUMIF(Rural_2026!$A$5:$A$69,$A56,Rural_2026!$P$5:$P$69)+SUMIF(Urbano_2026!$A$5:$A$53,$A56,Urbano_2026!$P$5:$P$53)</f>
        <v>26627.8</v>
      </c>
      <c r="Q56" s="14">
        <f t="shared" si="12"/>
        <v>1</v>
      </c>
      <c r="R56" s="14">
        <f t="shared" si="13"/>
        <v>1</v>
      </c>
      <c r="S56" s="13">
        <f>SUMIF(Rural_2026!$A$5:$A$69,$A56,Rural_2026!$U$5:$U$69)+SUMIF(Urbano_2026!$A$5:$A$53,$A56,Urbano_2026!$U$5:$U$53)</f>
        <v>0</v>
      </c>
      <c r="T56" s="14">
        <f t="shared" si="14"/>
        <v>0</v>
      </c>
      <c r="U56" s="29">
        <f t="shared" si="15"/>
        <v>100</v>
      </c>
    </row>
    <row r="57" spans="1:21" ht="15" customHeight="1" x14ac:dyDescent="0.25">
      <c r="A57" s="8" t="s">
        <v>159</v>
      </c>
      <c r="B57" s="8" t="s">
        <v>160</v>
      </c>
      <c r="C57" s="8" t="s">
        <v>126</v>
      </c>
      <c r="D57" s="8" t="s">
        <v>161</v>
      </c>
      <c r="E57" s="13">
        <f>SUMIF(Rural_2026!$A$5:$A$69,$A57,Rural_2026!$H$5:$H$69)</f>
        <v>50695.28</v>
      </c>
      <c r="F57" s="13">
        <f>SUMIF(Urbano_2026!$A$5:$A$53,$A57,Urbano_2026!$H$5:$H$53)</f>
        <v>0</v>
      </c>
      <c r="G57" s="13">
        <f t="shared" si="8"/>
        <v>50695.28</v>
      </c>
      <c r="H57" s="13">
        <f>SUMIF(Rural_2024!$A$5:$A$61,$A57,Rural_2024!$O$5:$O$61)+SUMIF(Urbano_2024!$A$5:$A$53,$A57,Urbano_2024!$O$5:$O$53)</f>
        <v>22812.876</v>
      </c>
      <c r="I57" s="14">
        <f t="shared" si="9"/>
        <v>0.45</v>
      </c>
      <c r="J57" s="13">
        <f>SUMIF(Rural_2024!$A$5:$A$61,$A57,Rural_2024!$R$5:$R$61)+SUMIF(Urbano_2024!$A$5:$A$53,$A57,Urbano_2024!$R$5:$R$53)</f>
        <v>18180.376275862065</v>
      </c>
      <c r="K57" s="13">
        <f>SUMIF(Rural_2025!$A$5:$A$69,$A57,Rural_2025!$O$5:$O$69)+SUMIF(Urbano_2025!$A$5:$A$53,$A57,Urbano_2025!$O$5:$O$53)</f>
        <v>45625.752</v>
      </c>
      <c r="L57" s="13">
        <f>SUMIF(Rural_2025!$A$5:$A$69,$A57,Rural_2025!$P$5:$P$69)+SUMIF(Urbano_2025!$A$5:$A$53,$A57,Urbano_2025!$P$5:$P$53)</f>
        <v>45625.752</v>
      </c>
      <c r="M57" s="14">
        <f t="shared" si="10"/>
        <v>0.9</v>
      </c>
      <c r="N57" s="14">
        <f t="shared" si="11"/>
        <v>0.9</v>
      </c>
      <c r="O57" s="13">
        <f>SUMIF(Rural_2026!$A$5:$A$69,$A57,Rural_2026!$O$5:$O$69)+SUMIF(Urbano_2026!$A$5:$A$53,$A57,Urbano_2026!$O$5:$O$53)</f>
        <v>50695.28</v>
      </c>
      <c r="P57" s="13">
        <f>SUMIF(Rural_2026!$A$5:$A$69,$A57,Rural_2026!$P$5:$P$69)+SUMIF(Urbano_2026!$A$5:$A$53,$A57,Urbano_2026!$P$5:$P$53)</f>
        <v>50695.28</v>
      </c>
      <c r="Q57" s="14">
        <f t="shared" si="12"/>
        <v>1</v>
      </c>
      <c r="R57" s="14">
        <f t="shared" si="13"/>
        <v>1</v>
      </c>
      <c r="S57" s="13">
        <f>SUMIF(Rural_2026!$A$5:$A$69,$A57,Rural_2026!$U$5:$U$69)+SUMIF(Urbano_2026!$A$5:$A$53,$A57,Urbano_2026!$U$5:$U$53)</f>
        <v>0</v>
      </c>
      <c r="T57" s="14">
        <f t="shared" si="14"/>
        <v>0</v>
      </c>
      <c r="U57" s="29">
        <f t="shared" si="15"/>
        <v>55.000000000000007</v>
      </c>
    </row>
    <row r="58" spans="1:21" ht="15" customHeight="1" x14ac:dyDescent="0.25">
      <c r="A58" s="8" t="s">
        <v>140</v>
      </c>
      <c r="B58" s="8" t="s">
        <v>141</v>
      </c>
      <c r="C58" s="8" t="s">
        <v>126</v>
      </c>
      <c r="D58" s="8" t="s">
        <v>142</v>
      </c>
      <c r="E58" s="13">
        <f>SUMIF(Rural_2026!$A$5:$A$69,$A58,Rural_2026!$H$5:$H$69)</f>
        <v>24702</v>
      </c>
      <c r="F58" s="13">
        <f>SUMIF(Urbano_2026!$A$5:$A$53,$A58,Urbano_2026!$H$5:$H$53)</f>
        <v>0</v>
      </c>
      <c r="G58" s="13">
        <f t="shared" si="8"/>
        <v>24702</v>
      </c>
      <c r="H58" s="13">
        <f>SUMIF(Rural_2024!$A$5:$A$61,$A58,Rural_2024!$O$5:$O$61)+SUMIF(Urbano_2024!$A$5:$A$53,$A58,Urbano_2024!$O$5:$O$53)</f>
        <v>0</v>
      </c>
      <c r="I58" s="14">
        <f t="shared" si="9"/>
        <v>0</v>
      </c>
      <c r="J58" s="13">
        <f>SUMIF(Rural_2024!$A$5:$A$61,$A58,Rural_2024!$R$5:$R$61)+SUMIF(Urbano_2024!$A$5:$A$53,$A58,Urbano_2024!$R$5:$R$53)</f>
        <v>0</v>
      </c>
      <c r="K58" s="13">
        <f>SUMIF(Rural_2025!$A$5:$A$69,$A58,Rural_2025!$O$5:$O$69)+SUMIF(Urbano_2025!$A$5:$A$53,$A58,Urbano_2025!$O$5:$O$53)</f>
        <v>22231.8</v>
      </c>
      <c r="L58" s="13">
        <f>SUMIF(Rural_2025!$A$5:$A$69,$A58,Rural_2025!$P$5:$P$69)+SUMIF(Urbano_2025!$A$5:$A$53,$A58,Urbano_2025!$P$5:$P$53)</f>
        <v>0</v>
      </c>
      <c r="M58" s="14">
        <f t="shared" si="10"/>
        <v>0.9</v>
      </c>
      <c r="N58" s="14">
        <f t="shared" si="11"/>
        <v>0</v>
      </c>
      <c r="O58" s="13">
        <f>SUMIF(Rural_2026!$A$5:$A$69,$A58,Rural_2026!$O$5:$O$69)+SUMIF(Urbano_2026!$A$5:$A$53,$A58,Urbano_2026!$O$5:$O$53)</f>
        <v>24702</v>
      </c>
      <c r="P58" s="13">
        <f>SUMIF(Rural_2026!$A$5:$A$69,$A58,Rural_2026!$P$5:$P$69)+SUMIF(Urbano_2026!$A$5:$A$53,$A58,Urbano_2026!$P$5:$P$53)</f>
        <v>24702</v>
      </c>
      <c r="Q58" s="14">
        <f t="shared" si="12"/>
        <v>1</v>
      </c>
      <c r="R58" s="14">
        <f t="shared" si="13"/>
        <v>1</v>
      </c>
      <c r="S58" s="13">
        <f>SUMIF(Rural_2026!$A$5:$A$69,$A58,Rural_2026!$U$5:$U$69)+SUMIF(Urbano_2026!$A$5:$A$53,$A58,Urbano_2026!$U$5:$U$53)</f>
        <v>0</v>
      </c>
      <c r="T58" s="14">
        <f t="shared" si="14"/>
        <v>0</v>
      </c>
      <c r="U58" s="29">
        <f t="shared" si="15"/>
        <v>100</v>
      </c>
    </row>
    <row r="59" spans="1:21" ht="15" customHeight="1" x14ac:dyDescent="0.25">
      <c r="A59" s="8" t="s">
        <v>124</v>
      </c>
      <c r="B59" s="8" t="s">
        <v>125</v>
      </c>
      <c r="C59" s="8" t="s">
        <v>126</v>
      </c>
      <c r="D59" s="8" t="s">
        <v>127</v>
      </c>
      <c r="E59" s="13">
        <f>SUMIF(Rural_2026!$A$5:$A$69,$A59,Rural_2026!$H$5:$H$69)</f>
        <v>24404.89</v>
      </c>
      <c r="F59" s="13">
        <f>SUMIF(Urbano_2026!$A$5:$A$53,$A59,Urbano_2026!$H$5:$H$53)</f>
        <v>99.63</v>
      </c>
      <c r="G59" s="13">
        <f t="shared" si="8"/>
        <v>24504.52</v>
      </c>
      <c r="H59" s="13">
        <f>SUMIF(Rural_2024!$A$5:$A$61,$A59,Rural_2024!$O$5:$O$61)+SUMIF(Urbano_2024!$A$5:$A$53,$A59,Urbano_2024!$O$5:$O$53)</f>
        <v>22054.068000000003</v>
      </c>
      <c r="I59" s="14">
        <f t="shared" si="9"/>
        <v>0.90000000000000013</v>
      </c>
      <c r="J59" s="13">
        <f>SUMIF(Rural_2024!$A$5:$A$61,$A59,Rural_2024!$R$5:$R$61)+SUMIF(Urbano_2024!$A$5:$A$53,$A59,Urbano_2024!$R$5:$R$53)</f>
        <v>22054.068000000003</v>
      </c>
      <c r="K59" s="13">
        <f>SUMIF(Rural_2025!$A$5:$A$69,$A59,Rural_2025!$O$5:$O$69)+SUMIF(Urbano_2025!$A$5:$A$53,$A59,Urbano_2025!$O$5:$O$53)</f>
        <v>24504.52</v>
      </c>
      <c r="L59" s="13">
        <f>SUMIF(Rural_2025!$A$5:$A$69,$A59,Rural_2025!$P$5:$P$69)+SUMIF(Urbano_2025!$A$5:$A$53,$A59,Urbano_2025!$P$5:$P$53)</f>
        <v>24504.52</v>
      </c>
      <c r="M59" s="14">
        <f t="shared" si="10"/>
        <v>1</v>
      </c>
      <c r="N59" s="14">
        <f t="shared" si="11"/>
        <v>1</v>
      </c>
      <c r="O59" s="13">
        <f>SUMIF(Rural_2026!$A$5:$A$69,$A59,Rural_2026!$O$5:$O$69)+SUMIF(Urbano_2026!$A$5:$A$53,$A59,Urbano_2026!$O$5:$O$53)</f>
        <v>24504.52</v>
      </c>
      <c r="P59" s="13">
        <f>SUMIF(Rural_2026!$A$5:$A$69,$A59,Rural_2026!$P$5:$P$69)+SUMIF(Urbano_2026!$A$5:$A$53,$A59,Urbano_2026!$P$5:$P$53)</f>
        <v>24504.52</v>
      </c>
      <c r="Q59" s="14">
        <f t="shared" si="12"/>
        <v>1</v>
      </c>
      <c r="R59" s="14">
        <f t="shared" si="13"/>
        <v>1</v>
      </c>
      <c r="S59" s="13">
        <f>SUMIF(Rural_2026!$A$5:$A$69,$A59,Rural_2026!$U$5:$U$69)+SUMIF(Urbano_2026!$A$5:$A$53,$A59,Urbano_2026!$U$5:$U$53)</f>
        <v>54.796500000000002</v>
      </c>
      <c r="T59" s="14">
        <f t="shared" si="14"/>
        <v>2.2361792844748643E-3</v>
      </c>
      <c r="U59" s="29">
        <f t="shared" si="15"/>
        <v>9.9999999999999858</v>
      </c>
    </row>
    <row r="60" spans="1:21" ht="15" customHeight="1" x14ac:dyDescent="0.25">
      <c r="A60" s="8" t="s">
        <v>130</v>
      </c>
      <c r="B60" s="8" t="s">
        <v>131</v>
      </c>
      <c r="C60" s="8" t="s">
        <v>126</v>
      </c>
      <c r="D60" s="8" t="s">
        <v>127</v>
      </c>
      <c r="E60" s="13">
        <f>SUMIF(Rural_2026!$A$5:$A$69,$A60,Rural_2026!$H$5:$H$69)</f>
        <v>20260</v>
      </c>
      <c r="F60" s="13">
        <f>SUMIF(Urbano_2026!$A$5:$A$53,$A60,Urbano_2026!$H$5:$H$53)</f>
        <v>33.799999999999997</v>
      </c>
      <c r="G60" s="13">
        <f t="shared" si="8"/>
        <v>20293.8</v>
      </c>
      <c r="H60" s="13">
        <f>SUMIF(Rural_2024!$A$5:$A$61,$A60,Rural_2024!$O$5:$O$61)+SUMIF(Urbano_2024!$A$5:$A$53,$A60,Urbano_2024!$O$5:$O$53)</f>
        <v>0</v>
      </c>
      <c r="I60" s="14">
        <f t="shared" si="9"/>
        <v>0</v>
      </c>
      <c r="J60" s="13">
        <f>SUMIF(Rural_2024!$A$5:$A$61,$A60,Rural_2024!$R$5:$R$61)+SUMIF(Urbano_2024!$A$5:$A$53,$A60,Urbano_2024!$R$5:$R$53)</f>
        <v>0</v>
      </c>
      <c r="K60" s="13">
        <f>SUMIF(Rural_2025!$A$5:$A$69,$A60,Rural_2025!$O$5:$O$69)+SUMIF(Urbano_2025!$A$5:$A$53,$A60,Urbano_2025!$O$5:$O$53)</f>
        <v>18267.8</v>
      </c>
      <c r="L60" s="13">
        <f>SUMIF(Rural_2025!$A$5:$A$69,$A60,Rural_2025!$P$5:$P$69)+SUMIF(Urbano_2025!$A$5:$A$53,$A60,Urbano_2025!$P$5:$P$53)</f>
        <v>33.799999999999997</v>
      </c>
      <c r="M60" s="14">
        <f t="shared" si="10"/>
        <v>0.90016655333155937</v>
      </c>
      <c r="N60" s="14">
        <f t="shared" si="11"/>
        <v>1.6655333155939252E-3</v>
      </c>
      <c r="O60" s="13">
        <f>SUMIF(Rural_2026!$A$5:$A$69,$A60,Rural_2026!$O$5:$O$69)+SUMIF(Urbano_2026!$A$5:$A$53,$A60,Urbano_2026!$O$5:$O$53)</f>
        <v>20293.8</v>
      </c>
      <c r="P60" s="13">
        <f>SUMIF(Rural_2026!$A$5:$A$69,$A60,Rural_2026!$P$5:$P$69)+SUMIF(Urbano_2026!$A$5:$A$53,$A60,Urbano_2026!$P$5:$P$53)</f>
        <v>20293.8</v>
      </c>
      <c r="Q60" s="14">
        <f t="shared" si="12"/>
        <v>1</v>
      </c>
      <c r="R60" s="14">
        <f t="shared" si="13"/>
        <v>1</v>
      </c>
      <c r="S60" s="13">
        <f>SUMIF(Rural_2026!$A$5:$A$69,$A60,Rural_2026!$U$5:$U$69)+SUMIF(Urbano_2026!$A$5:$A$53,$A60,Urbano_2026!$U$5:$U$53)</f>
        <v>15.209999999999999</v>
      </c>
      <c r="T60" s="14">
        <f t="shared" si="14"/>
        <v>7.4948999201726629E-4</v>
      </c>
      <c r="U60" s="29">
        <f t="shared" si="15"/>
        <v>100</v>
      </c>
    </row>
    <row r="61" spans="1:21" ht="15" customHeight="1" x14ac:dyDescent="0.25">
      <c r="A61" s="8" t="s">
        <v>143</v>
      </c>
      <c r="B61" s="8" t="s">
        <v>144</v>
      </c>
      <c r="C61" s="8" t="s">
        <v>126</v>
      </c>
      <c r="D61" s="8" t="s">
        <v>142</v>
      </c>
      <c r="E61" s="13">
        <f>SUMIF(Rural_2026!$A$5:$A$69,$A61,Rural_2026!$H$5:$H$69)</f>
        <v>31797</v>
      </c>
      <c r="F61" s="13">
        <f>SUMIF(Urbano_2026!$A$5:$A$53,$A61,Urbano_2026!$H$5:$H$53)</f>
        <v>91</v>
      </c>
      <c r="G61" s="13">
        <f t="shared" si="8"/>
        <v>31888</v>
      </c>
      <c r="H61" s="13">
        <f>SUMIF(Rural_2024!$A$5:$A$61,$A61,Rural_2024!$O$5:$O$61)+SUMIF(Urbano_2024!$A$5:$A$53,$A61,Urbano_2024!$O$5:$O$53)</f>
        <v>0</v>
      </c>
      <c r="I61" s="14">
        <f t="shared" si="9"/>
        <v>0</v>
      </c>
      <c r="J61" s="13">
        <f>SUMIF(Rural_2024!$A$5:$A$61,$A61,Rural_2024!$R$5:$R$61)+SUMIF(Urbano_2024!$A$5:$A$53,$A61,Urbano_2024!$R$5:$R$53)</f>
        <v>0</v>
      </c>
      <c r="K61" s="13">
        <f>SUMIF(Rural_2025!$A$5:$A$69,$A61,Rural_2025!$O$5:$O$69)+SUMIF(Urbano_2025!$A$5:$A$53,$A61,Urbano_2025!$O$5:$O$53)</f>
        <v>31888</v>
      </c>
      <c r="L61" s="13">
        <f>SUMIF(Rural_2025!$A$5:$A$69,$A61,Rural_2025!$P$5:$P$69)+SUMIF(Urbano_2025!$A$5:$A$53,$A61,Urbano_2025!$P$5:$P$53)</f>
        <v>28708.3</v>
      </c>
      <c r="M61" s="14">
        <f t="shared" si="10"/>
        <v>1</v>
      </c>
      <c r="N61" s="14">
        <f t="shared" si="11"/>
        <v>0.90028537380832918</v>
      </c>
      <c r="O61" s="13">
        <f>SUMIF(Rural_2026!$A$5:$A$69,$A61,Rural_2026!$O$5:$O$69)+SUMIF(Urbano_2026!$A$5:$A$53,$A61,Urbano_2026!$O$5:$O$53)</f>
        <v>31888</v>
      </c>
      <c r="P61" s="13">
        <f>SUMIF(Rural_2026!$A$5:$A$69,$A61,Rural_2026!$P$5:$P$69)+SUMIF(Urbano_2026!$A$5:$A$53,$A61,Urbano_2026!$P$5:$P$53)</f>
        <v>31888</v>
      </c>
      <c r="Q61" s="14">
        <f t="shared" si="12"/>
        <v>1</v>
      </c>
      <c r="R61" s="14">
        <f t="shared" si="13"/>
        <v>1</v>
      </c>
      <c r="S61" s="13">
        <f>SUMIF(Rural_2026!$A$5:$A$69,$A61,Rural_2026!$U$5:$U$69)+SUMIF(Urbano_2026!$A$5:$A$53,$A61,Urbano_2026!$U$5:$U$53)</f>
        <v>0</v>
      </c>
      <c r="T61" s="14">
        <f t="shared" si="14"/>
        <v>0</v>
      </c>
      <c r="U61" s="29">
        <f t="shared" si="15"/>
        <v>100</v>
      </c>
    </row>
    <row r="62" spans="1:21" ht="15" customHeight="1" x14ac:dyDescent="0.25">
      <c r="A62" s="8" t="s">
        <v>132</v>
      </c>
      <c r="B62" s="8" t="s">
        <v>133</v>
      </c>
      <c r="C62" s="8" t="s">
        <v>126</v>
      </c>
      <c r="D62" s="8" t="s">
        <v>127</v>
      </c>
      <c r="E62" s="13">
        <f>SUMIF(Rural_2026!$A$5:$A$69,$A62,Rural_2026!$H$5:$H$69)</f>
        <v>72394.570000000007</v>
      </c>
      <c r="F62" s="13">
        <f>SUMIF(Urbano_2026!$A$5:$A$53,$A62,Urbano_2026!$H$5:$H$53)</f>
        <v>243.43</v>
      </c>
      <c r="G62" s="13">
        <f t="shared" si="8"/>
        <v>72638</v>
      </c>
      <c r="H62" s="13">
        <f>SUMIF(Rural_2024!$A$5:$A$61,$A62,Rural_2024!$O$5:$O$61)+SUMIF(Urbano_2024!$A$5:$A$53,$A62,Urbano_2024!$O$5:$O$53)</f>
        <v>65374.200000000004</v>
      </c>
      <c r="I62" s="14">
        <f t="shared" si="9"/>
        <v>0.9</v>
      </c>
      <c r="J62" s="13">
        <f>SUMIF(Rural_2024!$A$5:$A$61,$A62,Rural_2024!$R$5:$R$61)+SUMIF(Urbano_2024!$A$5:$A$53,$A62,Urbano_2024!$R$5:$R$53)</f>
        <v>65392.391339350186</v>
      </c>
      <c r="K62" s="13">
        <f>SUMIF(Rural_2025!$A$5:$A$69,$A62,Rural_2025!$O$5:$O$69)+SUMIF(Urbano_2025!$A$5:$A$53,$A62,Urbano_2025!$O$5:$O$53)</f>
        <v>72638</v>
      </c>
      <c r="L62" s="13">
        <f>SUMIF(Rural_2025!$A$5:$A$69,$A62,Rural_2025!$P$5:$P$69)+SUMIF(Urbano_2025!$A$5:$A$53,$A62,Urbano_2025!$P$5:$P$53)</f>
        <v>72638</v>
      </c>
      <c r="M62" s="14">
        <f t="shared" si="10"/>
        <v>1</v>
      </c>
      <c r="N62" s="14">
        <f t="shared" si="11"/>
        <v>1</v>
      </c>
      <c r="O62" s="13">
        <f>SUMIF(Rural_2026!$A$5:$A$69,$A62,Rural_2026!$O$5:$O$69)+SUMIF(Urbano_2026!$A$5:$A$53,$A62,Urbano_2026!$O$5:$O$53)</f>
        <v>72638</v>
      </c>
      <c r="P62" s="13">
        <f>SUMIF(Rural_2026!$A$5:$A$69,$A62,Rural_2026!$P$5:$P$69)+SUMIF(Urbano_2026!$A$5:$A$53,$A62,Urbano_2026!$P$5:$P$53)</f>
        <v>72638</v>
      </c>
      <c r="Q62" s="14">
        <f t="shared" si="12"/>
        <v>1</v>
      </c>
      <c r="R62" s="14">
        <f t="shared" si="13"/>
        <v>1</v>
      </c>
      <c r="S62" s="13">
        <f>SUMIF(Rural_2026!$A$5:$A$69,$A62,Rural_2026!$U$5:$U$69)+SUMIF(Urbano_2026!$A$5:$A$53,$A62,Urbano_2026!$U$5:$U$53)</f>
        <v>32687.100000000002</v>
      </c>
      <c r="T62" s="14">
        <f t="shared" si="14"/>
        <v>0.45</v>
      </c>
      <c r="U62" s="29">
        <f t="shared" si="15"/>
        <v>9.9999999999999982</v>
      </c>
    </row>
    <row r="63" spans="1:21" ht="15" customHeight="1" x14ac:dyDescent="0.25">
      <c r="A63" s="8" t="s">
        <v>134</v>
      </c>
      <c r="B63" s="8" t="s">
        <v>135</v>
      </c>
      <c r="C63" s="8" t="s">
        <v>126</v>
      </c>
      <c r="D63" s="8" t="s">
        <v>127</v>
      </c>
      <c r="E63" s="13">
        <f>SUMIF(Rural_2026!$A$5:$A$69,$A63,Rural_2026!$H$5:$H$69)</f>
        <v>35717</v>
      </c>
      <c r="F63" s="13">
        <f>SUMIF(Urbano_2026!$A$5:$A$53,$A63,Urbano_2026!$H$5:$H$53)</f>
        <v>0</v>
      </c>
      <c r="G63" s="13">
        <f t="shared" si="8"/>
        <v>35717</v>
      </c>
      <c r="H63" s="13">
        <f>SUMIF(Rural_2024!$A$5:$A$61,$A63,Rural_2024!$O$5:$O$61)+SUMIF(Urbano_2024!$A$5:$A$53,$A63,Urbano_2024!$O$5:$O$53)</f>
        <v>0</v>
      </c>
      <c r="I63" s="14">
        <f t="shared" si="9"/>
        <v>0</v>
      </c>
      <c r="J63" s="13">
        <f>SUMIF(Rural_2024!$A$5:$A$61,$A63,Rural_2024!$R$5:$R$61)+SUMIF(Urbano_2024!$A$5:$A$53,$A63,Urbano_2024!$R$5:$R$53)</f>
        <v>0</v>
      </c>
      <c r="K63" s="13">
        <f>SUMIF(Rural_2025!$A$5:$A$69,$A63,Rural_2025!$O$5:$O$69)+SUMIF(Urbano_2025!$A$5:$A$53,$A63,Urbano_2025!$O$5:$O$53)</f>
        <v>3571.7000000000003</v>
      </c>
      <c r="L63" s="13">
        <f>SUMIF(Rural_2025!$A$5:$A$69,$A63,Rural_2025!$P$5:$P$69)+SUMIF(Urbano_2025!$A$5:$A$53,$A63,Urbano_2025!$P$5:$P$53)</f>
        <v>0</v>
      </c>
      <c r="M63" s="14">
        <f t="shared" si="10"/>
        <v>0.1</v>
      </c>
      <c r="N63" s="14">
        <f t="shared" si="11"/>
        <v>0</v>
      </c>
      <c r="O63" s="13">
        <f>SUMIF(Rural_2026!$A$5:$A$69,$A63,Rural_2026!$O$5:$O$69)+SUMIF(Urbano_2026!$A$5:$A$53,$A63,Urbano_2026!$O$5:$O$53)</f>
        <v>35717</v>
      </c>
      <c r="P63" s="13">
        <f>SUMIF(Rural_2026!$A$5:$A$69,$A63,Rural_2026!$P$5:$P$69)+SUMIF(Urbano_2026!$A$5:$A$53,$A63,Urbano_2026!$P$5:$P$53)</f>
        <v>35717</v>
      </c>
      <c r="Q63" s="14">
        <f t="shared" si="12"/>
        <v>1</v>
      </c>
      <c r="R63" s="14">
        <f t="shared" si="13"/>
        <v>1</v>
      </c>
      <c r="S63" s="13">
        <f>SUMIF(Rural_2026!$A$5:$A$69,$A63,Rural_2026!$U$5:$U$69)+SUMIF(Urbano_2026!$A$5:$A$53,$A63,Urbano_2026!$U$5:$U$53)</f>
        <v>0</v>
      </c>
      <c r="T63" s="14">
        <f t="shared" si="14"/>
        <v>0</v>
      </c>
      <c r="U63" s="29">
        <f t="shared" si="15"/>
        <v>100</v>
      </c>
    </row>
    <row r="64" spans="1:21" ht="15" customHeight="1" x14ac:dyDescent="0.25">
      <c r="A64" s="8" t="s">
        <v>145</v>
      </c>
      <c r="B64" s="8" t="s">
        <v>146</v>
      </c>
      <c r="C64" s="8" t="s">
        <v>126</v>
      </c>
      <c r="D64" s="8" t="s">
        <v>142</v>
      </c>
      <c r="E64" s="13">
        <f>SUMIF(Rural_2026!$A$5:$A$69,$A64,Rural_2026!$H$5:$H$69)</f>
        <v>135439</v>
      </c>
      <c r="F64" s="13">
        <f>SUMIF(Urbano_2026!$A$5:$A$53,$A64,Urbano_2026!$H$5:$H$53)</f>
        <v>0</v>
      </c>
      <c r="G64" s="13">
        <f t="shared" si="8"/>
        <v>135439</v>
      </c>
      <c r="H64" s="13">
        <f>SUMIF(Rural_2024!$A$5:$A$61,$A64,Rural_2024!$O$5:$O$61)+SUMIF(Urbano_2024!$A$5:$A$53,$A64,Urbano_2024!$O$5:$O$53)</f>
        <v>0</v>
      </c>
      <c r="I64" s="14">
        <f t="shared" si="9"/>
        <v>0</v>
      </c>
      <c r="J64" s="13">
        <f>SUMIF(Rural_2024!$A$5:$A$61,$A64,Rural_2024!$R$5:$R$61)+SUMIF(Urbano_2024!$A$5:$A$53,$A64,Urbano_2024!$R$5:$R$53)</f>
        <v>0</v>
      </c>
      <c r="K64" s="13">
        <f>SUMIF(Rural_2025!$A$5:$A$69,$A64,Rural_2025!$O$5:$O$69)+SUMIF(Urbano_2025!$A$5:$A$53,$A64,Urbano_2025!$O$5:$O$53)</f>
        <v>0</v>
      </c>
      <c r="L64" s="13">
        <f>SUMIF(Rural_2025!$A$5:$A$69,$A64,Rural_2025!$P$5:$P$69)+SUMIF(Urbano_2025!$A$5:$A$53,$A64,Urbano_2025!$P$5:$P$53)</f>
        <v>135439</v>
      </c>
      <c r="M64" s="14">
        <f t="shared" si="10"/>
        <v>0</v>
      </c>
      <c r="N64" s="14">
        <f t="shared" si="11"/>
        <v>1</v>
      </c>
      <c r="O64" s="13">
        <f>SUMIF(Rural_2026!$A$5:$A$69,$A64,Rural_2026!$O$5:$O$69)+SUMIF(Urbano_2026!$A$5:$A$53,$A64,Urbano_2026!$O$5:$O$53)</f>
        <v>135439</v>
      </c>
      <c r="P64" s="13">
        <f>SUMIF(Rural_2026!$A$5:$A$69,$A64,Rural_2026!$P$5:$P$69)+SUMIF(Urbano_2026!$A$5:$A$53,$A64,Urbano_2026!$P$5:$P$53)</f>
        <v>135439</v>
      </c>
      <c r="Q64" s="14">
        <f t="shared" si="12"/>
        <v>1</v>
      </c>
      <c r="R64" s="14">
        <f t="shared" si="13"/>
        <v>1</v>
      </c>
      <c r="S64" s="13">
        <f>SUMIF(Rural_2026!$A$5:$A$69,$A64,Rural_2026!$U$5:$U$69)+SUMIF(Urbano_2026!$A$5:$A$53,$A64,Urbano_2026!$U$5:$U$53)</f>
        <v>0</v>
      </c>
      <c r="T64" s="14">
        <f t="shared" si="14"/>
        <v>0</v>
      </c>
      <c r="U64" s="29">
        <f t="shared" si="15"/>
        <v>100</v>
      </c>
    </row>
    <row r="65" spans="1:21" ht="15" customHeight="1" x14ac:dyDescent="0.25">
      <c r="A65" s="8" t="s">
        <v>254</v>
      </c>
      <c r="B65" s="8" t="s">
        <v>255</v>
      </c>
      <c r="C65" s="8" t="s">
        <v>256</v>
      </c>
      <c r="D65" s="8" t="s">
        <v>257</v>
      </c>
      <c r="E65" s="13">
        <f>SUMIF(Rural_2026!$A$5:$A$69,$A65,Rural_2026!$H$5:$H$69)</f>
        <v>0</v>
      </c>
      <c r="F65" s="13">
        <f>SUMIF(Urbano_2026!$A$5:$A$53,$A65,Urbano_2026!$H$5:$H$53)</f>
        <v>63.7</v>
      </c>
      <c r="G65" s="13">
        <f t="shared" si="8"/>
        <v>63.7</v>
      </c>
      <c r="H65" s="13">
        <f>SUMIF(Rural_2024!$A$5:$A$61,$A65,Rural_2024!$O$5:$O$61)+SUMIF(Urbano_2024!$A$5:$A$53,$A65,Urbano_2024!$O$5:$O$53)</f>
        <v>0</v>
      </c>
      <c r="I65" s="14">
        <f t="shared" si="9"/>
        <v>0</v>
      </c>
      <c r="J65" s="13">
        <f>SUMIF(Rural_2024!$A$5:$A$61,$A65,Rural_2024!$R$5:$R$61)+SUMIF(Urbano_2024!$A$5:$A$53,$A65,Urbano_2024!$R$5:$R$53)</f>
        <v>0</v>
      </c>
      <c r="K65" s="13">
        <f>SUMIF(Rural_2025!$A$5:$A$69,$A65,Rural_2025!$O$5:$O$69)+SUMIF(Urbano_2025!$A$5:$A$53,$A65,Urbano_2025!$O$5:$O$53)</f>
        <v>57.330000000000005</v>
      </c>
      <c r="L65" s="13">
        <f>SUMIF(Rural_2025!$A$5:$A$69,$A65,Rural_2025!$P$5:$P$69)+SUMIF(Urbano_2025!$A$5:$A$53,$A65,Urbano_2025!$P$5:$P$53)</f>
        <v>57.330000000000005</v>
      </c>
      <c r="M65" s="14">
        <f t="shared" si="10"/>
        <v>0.9</v>
      </c>
      <c r="N65" s="14">
        <f t="shared" si="11"/>
        <v>0.9</v>
      </c>
      <c r="O65" s="13">
        <f>SUMIF(Rural_2026!$A$5:$A$69,$A65,Rural_2026!$O$5:$O$69)+SUMIF(Urbano_2026!$A$5:$A$53,$A65,Urbano_2026!$O$5:$O$53)</f>
        <v>63.7</v>
      </c>
      <c r="P65" s="13">
        <f>SUMIF(Rural_2026!$A$5:$A$69,$A65,Rural_2026!$P$5:$P$69)+SUMIF(Urbano_2026!$A$5:$A$53,$A65,Urbano_2026!$P$5:$P$53)</f>
        <v>63.7</v>
      </c>
      <c r="Q65" s="14">
        <f t="shared" si="12"/>
        <v>1</v>
      </c>
      <c r="R65" s="14">
        <f t="shared" si="13"/>
        <v>1</v>
      </c>
      <c r="S65" s="13">
        <f>SUMIF(Rural_2026!$A$5:$A$69,$A65,Rural_2026!$U$5:$U$69)+SUMIF(Urbano_2026!$A$5:$A$53,$A65,Urbano_2026!$U$5:$U$53)</f>
        <v>0</v>
      </c>
      <c r="T65" s="14">
        <f t="shared" si="14"/>
        <v>0</v>
      </c>
      <c r="U65" s="29">
        <f t="shared" si="15"/>
        <v>100</v>
      </c>
    </row>
    <row r="66" spans="1:21" ht="15" customHeight="1" x14ac:dyDescent="0.25">
      <c r="A66" s="8" t="s">
        <v>183</v>
      </c>
      <c r="B66" s="8" t="s">
        <v>184</v>
      </c>
      <c r="C66" s="8" t="s">
        <v>185</v>
      </c>
      <c r="D66" s="8" t="s">
        <v>161</v>
      </c>
      <c r="E66" s="13">
        <f>SUMIF(Rural_2026!$A$5:$A$69,$A66,Rural_2026!$H$5:$H$69)</f>
        <v>76629</v>
      </c>
      <c r="F66" s="13">
        <f>SUMIF(Urbano_2026!$A$5:$A$53,$A66,Urbano_2026!$H$5:$H$53)</f>
        <v>0</v>
      </c>
      <c r="G66" s="13">
        <f t="shared" si="8"/>
        <v>76629</v>
      </c>
      <c r="H66" s="13">
        <f>SUMIF(Rural_2024!$A$5:$A$61,$A66,Rural_2024!$O$5:$O$61)+SUMIF(Urbano_2024!$A$5:$A$53,$A66,Urbano_2024!$O$5:$O$53)</f>
        <v>0</v>
      </c>
      <c r="I66" s="14">
        <f t="shared" si="9"/>
        <v>0</v>
      </c>
      <c r="J66" s="13">
        <f>SUMIF(Rural_2024!$A$5:$A$61,$A66,Rural_2024!$R$5:$R$61)+SUMIF(Urbano_2024!$A$5:$A$53,$A66,Urbano_2024!$R$5:$R$53)</f>
        <v>0</v>
      </c>
      <c r="K66" s="13">
        <f>SUMIF(Rural_2025!$A$5:$A$69,$A66,Rural_2025!$O$5:$O$69)+SUMIF(Urbano_2025!$A$5:$A$53,$A66,Urbano_2025!$O$5:$O$53)</f>
        <v>34483.050000000003</v>
      </c>
      <c r="L66" s="13">
        <f>SUMIF(Rural_2025!$A$5:$A$69,$A66,Rural_2025!$P$5:$P$69)+SUMIF(Urbano_2025!$A$5:$A$53,$A66,Urbano_2025!$P$5:$P$53)</f>
        <v>76629</v>
      </c>
      <c r="M66" s="14">
        <f t="shared" si="10"/>
        <v>0.45</v>
      </c>
      <c r="N66" s="14">
        <f t="shared" si="11"/>
        <v>1</v>
      </c>
      <c r="O66" s="13">
        <f>SUMIF(Rural_2026!$A$5:$A$69,$A66,Rural_2026!$O$5:$O$69)+SUMIF(Urbano_2026!$A$5:$A$53,$A66,Urbano_2026!$O$5:$O$53)</f>
        <v>76629</v>
      </c>
      <c r="P66" s="13">
        <f>SUMIF(Rural_2026!$A$5:$A$69,$A66,Rural_2026!$P$5:$P$69)+SUMIF(Urbano_2026!$A$5:$A$53,$A66,Urbano_2026!$P$5:$P$53)</f>
        <v>76629</v>
      </c>
      <c r="Q66" s="14">
        <f t="shared" si="12"/>
        <v>1</v>
      </c>
      <c r="R66" s="14">
        <f t="shared" si="13"/>
        <v>1</v>
      </c>
      <c r="S66" s="13">
        <f>SUMIF(Rural_2026!$A$5:$A$69,$A66,Rural_2026!$U$5:$U$69)+SUMIF(Urbano_2026!$A$5:$A$53,$A66,Urbano_2026!$U$5:$U$53)</f>
        <v>0</v>
      </c>
      <c r="T66" s="14">
        <f t="shared" si="14"/>
        <v>0</v>
      </c>
      <c r="U66" s="29">
        <f t="shared" si="15"/>
        <v>100</v>
      </c>
    </row>
    <row r="67" spans="1:21" ht="15" customHeight="1" x14ac:dyDescent="0.25">
      <c r="A67" s="8" t="s">
        <v>321</v>
      </c>
      <c r="B67" s="8" t="s">
        <v>322</v>
      </c>
      <c r="C67" s="8" t="s">
        <v>185</v>
      </c>
      <c r="D67" s="8" t="s">
        <v>318</v>
      </c>
      <c r="E67" s="13">
        <f>SUMIF(Rural_2026!$A$5:$A$69,$A67,Rural_2026!$H$5:$H$69)</f>
        <v>126683.99</v>
      </c>
      <c r="F67" s="13">
        <f>SUMIF(Urbano_2026!$A$5:$A$53,$A67,Urbano_2026!$H$5:$H$53)</f>
        <v>0</v>
      </c>
      <c r="G67" s="13">
        <f t="shared" si="8"/>
        <v>126683.99</v>
      </c>
      <c r="H67" s="13">
        <f>SUMIF(Rural_2024!$A$5:$A$61,$A67,Rural_2024!$O$5:$O$61)+SUMIF(Urbano_2024!$A$5:$A$53,$A67,Urbano_2024!$O$5:$O$53)</f>
        <v>0</v>
      </c>
      <c r="I67" s="14">
        <f t="shared" si="9"/>
        <v>0</v>
      </c>
      <c r="J67" s="13">
        <f>SUMIF(Rural_2024!$A$5:$A$61,$A67,Rural_2024!$R$5:$R$61)+SUMIF(Urbano_2024!$A$5:$A$53,$A67,Urbano_2024!$R$5:$R$53)</f>
        <v>0</v>
      </c>
      <c r="K67" s="13">
        <f>SUMIF(Rural_2025!$A$5:$A$69,$A67,Rural_2025!$O$5:$O$69)+SUMIF(Urbano_2025!$A$5:$A$53,$A67,Urbano_2025!$O$5:$O$53)</f>
        <v>0</v>
      </c>
      <c r="L67" s="13">
        <f>SUMIF(Rural_2025!$A$5:$A$69,$A67,Rural_2025!$P$5:$P$69)+SUMIF(Urbano_2025!$A$5:$A$53,$A67,Urbano_2025!$P$5:$P$53)</f>
        <v>126683.99</v>
      </c>
      <c r="M67" s="14">
        <f t="shared" si="10"/>
        <v>0</v>
      </c>
      <c r="N67" s="14">
        <f t="shared" si="11"/>
        <v>1</v>
      </c>
      <c r="O67" s="13">
        <f>SUMIF(Rural_2026!$A$5:$A$69,$A67,Rural_2026!$O$5:$O$69)+SUMIF(Urbano_2026!$A$5:$A$53,$A67,Urbano_2026!$O$5:$O$53)</f>
        <v>0</v>
      </c>
      <c r="P67" s="13">
        <f>SUMIF(Rural_2026!$A$5:$A$69,$A67,Rural_2026!$P$5:$P$69)+SUMIF(Urbano_2026!$A$5:$A$53,$A67,Urbano_2026!$P$5:$P$53)</f>
        <v>0</v>
      </c>
      <c r="Q67" s="14">
        <f t="shared" si="12"/>
        <v>0</v>
      </c>
      <c r="R67" s="14">
        <f t="shared" si="13"/>
        <v>0</v>
      </c>
      <c r="S67" s="13">
        <f>SUMIF(Rural_2026!$A$5:$A$69,$A67,Rural_2026!$U$5:$U$69)+SUMIF(Urbano_2026!$A$5:$A$53,$A67,Urbano_2026!$U$5:$U$53)</f>
        <v>0</v>
      </c>
      <c r="T67" s="14">
        <f t="shared" si="14"/>
        <v>0</v>
      </c>
      <c r="U67" s="29">
        <f t="shared" si="15"/>
        <v>0</v>
      </c>
    </row>
    <row r="68" spans="1:21" ht="15" customHeight="1" x14ac:dyDescent="0.25">
      <c r="A68" s="8" t="s">
        <v>206</v>
      </c>
      <c r="B68" s="8" t="s">
        <v>207</v>
      </c>
      <c r="C68" s="8" t="s">
        <v>185</v>
      </c>
      <c r="D68" s="8" t="s">
        <v>161</v>
      </c>
      <c r="E68" s="13">
        <f>SUMIF(Rural_2026!$A$5:$A$69,$A68,Rural_2026!$H$5:$H$69)</f>
        <v>109140</v>
      </c>
      <c r="F68" s="13">
        <f>SUMIF(Urbano_2026!$A$5:$A$53,$A68,Urbano_2026!$H$5:$H$53)</f>
        <v>0</v>
      </c>
      <c r="G68" s="13">
        <f t="shared" si="8"/>
        <v>109140</v>
      </c>
      <c r="H68" s="13">
        <f>SUMIF(Rural_2024!$A$5:$A$61,$A68,Rural_2024!$O$5:$O$61)+SUMIF(Urbano_2024!$A$5:$A$53,$A68,Urbano_2024!$O$5:$O$53)</f>
        <v>0</v>
      </c>
      <c r="I68" s="14">
        <f t="shared" si="9"/>
        <v>0</v>
      </c>
      <c r="J68" s="13">
        <f>SUMIF(Rural_2024!$A$5:$A$61,$A68,Rural_2024!$R$5:$R$61)+SUMIF(Urbano_2024!$A$5:$A$53,$A68,Urbano_2024!$R$5:$R$53)</f>
        <v>0</v>
      </c>
      <c r="K68" s="13">
        <f>SUMIF(Rural_2025!$A$5:$A$69,$A68,Rural_2025!$O$5:$O$69)+SUMIF(Urbano_2025!$A$5:$A$53,$A68,Urbano_2025!$O$5:$O$53)</f>
        <v>0</v>
      </c>
      <c r="L68" s="13">
        <f>SUMIF(Rural_2025!$A$5:$A$69,$A68,Rural_2025!$P$5:$P$69)+SUMIF(Urbano_2025!$A$5:$A$53,$A68,Urbano_2025!$P$5:$P$53)</f>
        <v>109140</v>
      </c>
      <c r="M68" s="14">
        <f t="shared" si="10"/>
        <v>0</v>
      </c>
      <c r="N68" s="14">
        <f t="shared" si="11"/>
        <v>1</v>
      </c>
      <c r="O68" s="13">
        <f>SUMIF(Rural_2026!$A$5:$A$69,$A68,Rural_2026!$O$5:$O$69)+SUMIF(Urbano_2026!$A$5:$A$53,$A68,Urbano_2026!$O$5:$O$53)</f>
        <v>0</v>
      </c>
      <c r="P68" s="13">
        <f>SUMIF(Rural_2026!$A$5:$A$69,$A68,Rural_2026!$P$5:$P$69)+SUMIF(Urbano_2026!$A$5:$A$53,$A68,Urbano_2026!$P$5:$P$53)</f>
        <v>0</v>
      </c>
      <c r="Q68" s="14">
        <f t="shared" si="12"/>
        <v>0</v>
      </c>
      <c r="R68" s="14">
        <f t="shared" si="13"/>
        <v>0</v>
      </c>
      <c r="S68" s="13">
        <f>SUMIF(Rural_2026!$A$5:$A$69,$A68,Rural_2026!$U$5:$U$69)+SUMIF(Urbano_2026!$A$5:$A$53,$A68,Urbano_2026!$U$5:$U$53)</f>
        <v>0</v>
      </c>
      <c r="T68" s="14">
        <f t="shared" si="14"/>
        <v>0</v>
      </c>
      <c r="U68" s="29">
        <f t="shared" si="15"/>
        <v>0</v>
      </c>
    </row>
    <row r="69" spans="1:21" ht="15" customHeight="1" x14ac:dyDescent="0.25">
      <c r="A69" s="8" t="s">
        <v>208</v>
      </c>
      <c r="B69" s="8" t="s">
        <v>209</v>
      </c>
      <c r="C69" s="8" t="s">
        <v>185</v>
      </c>
      <c r="D69" s="8" t="s">
        <v>161</v>
      </c>
      <c r="E69" s="13">
        <f>SUMIF(Rural_2026!$A$5:$A$69,$A69,Rural_2026!$H$5:$H$69)</f>
        <v>126063.91</v>
      </c>
      <c r="F69" s="13">
        <f>SUMIF(Urbano_2026!$A$5:$A$53,$A69,Urbano_2026!$H$5:$H$53)</f>
        <v>0</v>
      </c>
      <c r="G69" s="13">
        <f t="shared" ref="G69:G100" si="16">E69+F69</f>
        <v>126063.91</v>
      </c>
      <c r="H69" s="13">
        <f>SUMIF(Rural_2024!$A$5:$A$61,$A69,Rural_2024!$O$5:$O$61)+SUMIF(Urbano_2024!$A$5:$A$53,$A69,Urbano_2024!$O$5:$O$53)</f>
        <v>56728.7595</v>
      </c>
      <c r="I69" s="14">
        <f t="shared" ref="I69:I100" si="17">IF(G69=0,0,H69/G69)</f>
        <v>0.45</v>
      </c>
      <c r="J69" s="13">
        <f>SUMIF(Rural_2024!$A$5:$A$61,$A69,Rural_2024!$R$5:$R$61)+SUMIF(Urbano_2024!$A$5:$A$53,$A69,Urbano_2024!$R$5:$R$53)</f>
        <v>47143.013434903049</v>
      </c>
      <c r="K69" s="13">
        <f>SUMIF(Rural_2025!$A$5:$A$69,$A69,Rural_2025!$O$5:$O$69)+SUMIF(Urbano_2025!$A$5:$A$53,$A69,Urbano_2025!$O$5:$O$53)</f>
        <v>113457.519</v>
      </c>
      <c r="L69" s="13">
        <f>SUMIF(Rural_2025!$A$5:$A$69,$A69,Rural_2025!$P$5:$P$69)+SUMIF(Urbano_2025!$A$5:$A$53,$A69,Urbano_2025!$P$5:$P$53)</f>
        <v>126063.91</v>
      </c>
      <c r="M69" s="14">
        <f t="shared" ref="M69:M74" si="18">IF(G69=0,0,K69/G69)</f>
        <v>0.9</v>
      </c>
      <c r="N69" s="14">
        <f t="shared" ref="N69:N74" si="19">IF(G69=0,0,L69/G69)</f>
        <v>1</v>
      </c>
      <c r="O69" s="13">
        <f>SUMIF(Rural_2026!$A$5:$A$69,$A69,Rural_2026!$O$5:$O$69)+SUMIF(Urbano_2026!$A$5:$A$53,$A69,Urbano_2026!$O$5:$O$53)</f>
        <v>126063.91</v>
      </c>
      <c r="P69" s="13">
        <f>SUMIF(Rural_2026!$A$5:$A$69,$A69,Rural_2026!$P$5:$P$69)+SUMIF(Urbano_2026!$A$5:$A$53,$A69,Urbano_2026!$P$5:$P$53)</f>
        <v>126063.91</v>
      </c>
      <c r="Q69" s="14">
        <f t="shared" ref="Q69:Q74" si="20">IF(G69=0,0,O69/G69)</f>
        <v>1</v>
      </c>
      <c r="R69" s="14">
        <f t="shared" ref="R69:R74" si="21">IF(G69=0,0,P69/G69)</f>
        <v>1</v>
      </c>
      <c r="S69" s="13">
        <f>SUMIF(Rural_2026!$A$5:$A$69,$A69,Rural_2026!$U$5:$U$69)+SUMIF(Urbano_2026!$A$5:$A$53,$A69,Urbano_2026!$U$5:$U$53)</f>
        <v>56728.7595</v>
      </c>
      <c r="T69" s="14">
        <f t="shared" ref="T69:T100" si="22">IF(G69=0,0,S69/G69)</f>
        <v>0.45</v>
      </c>
      <c r="U69" s="29">
        <f t="shared" si="15"/>
        <v>55.000000000000007</v>
      </c>
    </row>
    <row r="70" spans="1:21" ht="15" customHeight="1" x14ac:dyDescent="0.25">
      <c r="A70" s="8" t="s">
        <v>226</v>
      </c>
      <c r="B70" s="8" t="s">
        <v>227</v>
      </c>
      <c r="C70" s="8" t="s">
        <v>185</v>
      </c>
      <c r="D70" s="8" t="s">
        <v>161</v>
      </c>
      <c r="E70" s="13">
        <f>SUMIF(Rural_2026!$A$5:$A$69,$A70,Rural_2026!$H$5:$H$69)</f>
        <v>27208.01</v>
      </c>
      <c r="F70" s="13">
        <f>SUMIF(Urbano_2026!$A$5:$A$53,$A70,Urbano_2026!$H$5:$H$53)</f>
        <v>147.38</v>
      </c>
      <c r="G70" s="13">
        <f t="shared" si="16"/>
        <v>27355.39</v>
      </c>
      <c r="H70" s="13">
        <f>SUMIF(Rural_2024!$A$5:$A$61,$A70,Rural_2024!$O$5:$O$61)+SUMIF(Urbano_2024!$A$5:$A$53,$A70,Urbano_2024!$O$5:$O$53)</f>
        <v>24619.850999999999</v>
      </c>
      <c r="I70" s="14">
        <f t="shared" si="17"/>
        <v>0.9</v>
      </c>
      <c r="J70" s="13">
        <f>SUMIF(Rural_2024!$A$5:$A$61,$A70,Rural_2024!$R$5:$R$61)+SUMIF(Urbano_2024!$A$5:$A$53,$A70,Urbano_2024!$R$5:$R$53)</f>
        <v>24549.911419413922</v>
      </c>
      <c r="K70" s="13">
        <f>SUMIF(Rural_2025!$A$5:$A$69,$A70,Rural_2025!$O$5:$O$69)+SUMIF(Urbano_2025!$A$5:$A$53,$A70,Urbano_2025!$O$5:$O$53)</f>
        <v>27355.39</v>
      </c>
      <c r="L70" s="13">
        <f>SUMIF(Rural_2025!$A$5:$A$69,$A70,Rural_2025!$P$5:$P$69)+SUMIF(Urbano_2025!$A$5:$A$53,$A70,Urbano_2025!$P$5:$P$53)</f>
        <v>27355.39</v>
      </c>
      <c r="M70" s="14">
        <f t="shared" si="18"/>
        <v>1</v>
      </c>
      <c r="N70" s="14">
        <f t="shared" si="19"/>
        <v>1</v>
      </c>
      <c r="O70" s="13">
        <f>SUMIF(Rural_2026!$A$5:$A$69,$A70,Rural_2026!$O$5:$O$69)+SUMIF(Urbano_2026!$A$5:$A$53,$A70,Urbano_2026!$O$5:$O$53)</f>
        <v>27355.39</v>
      </c>
      <c r="P70" s="13">
        <f>SUMIF(Rural_2026!$A$5:$A$69,$A70,Rural_2026!$P$5:$P$69)+SUMIF(Urbano_2026!$A$5:$A$53,$A70,Urbano_2026!$P$5:$P$53)</f>
        <v>27355.39</v>
      </c>
      <c r="Q70" s="14">
        <f t="shared" si="20"/>
        <v>1</v>
      </c>
      <c r="R70" s="14">
        <f t="shared" si="21"/>
        <v>1</v>
      </c>
      <c r="S70" s="13">
        <f>SUMIF(Rural_2026!$A$5:$A$69,$A70,Rural_2026!$U$5:$U$69)+SUMIF(Urbano_2026!$A$5:$A$53,$A70,Urbano_2026!$U$5:$U$53)</f>
        <v>12243.604499999999</v>
      </c>
      <c r="T70" s="14">
        <f t="shared" si="22"/>
        <v>0.44757557834123368</v>
      </c>
      <c r="U70" s="29">
        <f t="shared" si="15"/>
        <v>9.9999999999999982</v>
      </c>
    </row>
    <row r="71" spans="1:21" ht="15" customHeight="1" x14ac:dyDescent="0.25">
      <c r="A71" s="8" t="s">
        <v>228</v>
      </c>
      <c r="B71" s="8" t="s">
        <v>229</v>
      </c>
      <c r="C71" s="8" t="s">
        <v>185</v>
      </c>
      <c r="D71" s="8" t="s">
        <v>161</v>
      </c>
      <c r="E71" s="13">
        <f>SUMIF(Rural_2026!$A$5:$A$69,$A71,Rural_2026!$H$5:$H$69)</f>
        <v>70535</v>
      </c>
      <c r="F71" s="13">
        <f>SUMIF(Urbano_2026!$A$5:$A$53,$A71,Urbano_2026!$H$5:$H$53)</f>
        <v>0</v>
      </c>
      <c r="G71" s="13">
        <f t="shared" si="16"/>
        <v>70535</v>
      </c>
      <c r="H71" s="13">
        <f>SUMIF(Rural_2024!$A$5:$A$61,$A71,Rural_2024!$O$5:$O$61)+SUMIF(Urbano_2024!$A$5:$A$53,$A71,Urbano_2024!$O$5:$O$53)</f>
        <v>0</v>
      </c>
      <c r="I71" s="14">
        <f t="shared" si="17"/>
        <v>0</v>
      </c>
      <c r="J71" s="13">
        <f>SUMIF(Rural_2024!$A$5:$A$61,$A71,Rural_2024!$R$5:$R$61)+SUMIF(Urbano_2024!$A$5:$A$53,$A71,Urbano_2024!$R$5:$R$53)</f>
        <v>0</v>
      </c>
      <c r="K71" s="13">
        <f>SUMIF(Rural_2025!$A$5:$A$69,$A71,Rural_2025!$O$5:$O$69)+SUMIF(Urbano_2025!$A$5:$A$53,$A71,Urbano_2025!$O$5:$O$53)</f>
        <v>63481.5</v>
      </c>
      <c r="L71" s="13">
        <f>SUMIF(Rural_2025!$A$5:$A$69,$A71,Rural_2025!$P$5:$P$69)+SUMIF(Urbano_2025!$A$5:$A$53,$A71,Urbano_2025!$P$5:$P$53)</f>
        <v>70535</v>
      </c>
      <c r="M71" s="14">
        <f t="shared" si="18"/>
        <v>0.9</v>
      </c>
      <c r="N71" s="14">
        <f t="shared" si="19"/>
        <v>1</v>
      </c>
      <c r="O71" s="13">
        <f>SUMIF(Rural_2026!$A$5:$A$69,$A71,Rural_2026!$O$5:$O$69)+SUMIF(Urbano_2026!$A$5:$A$53,$A71,Urbano_2026!$O$5:$O$53)</f>
        <v>70535</v>
      </c>
      <c r="P71" s="13">
        <f>SUMIF(Rural_2026!$A$5:$A$69,$A71,Rural_2026!$P$5:$P$69)+SUMIF(Urbano_2026!$A$5:$A$53,$A71,Urbano_2026!$P$5:$P$53)</f>
        <v>70535</v>
      </c>
      <c r="Q71" s="14">
        <f t="shared" si="20"/>
        <v>1</v>
      </c>
      <c r="R71" s="14">
        <f t="shared" si="21"/>
        <v>1</v>
      </c>
      <c r="S71" s="13">
        <f>SUMIF(Rural_2026!$A$5:$A$69,$A71,Rural_2026!$U$5:$U$69)+SUMIF(Urbano_2026!$A$5:$A$53,$A71,Urbano_2026!$U$5:$U$53)</f>
        <v>0</v>
      </c>
      <c r="T71" s="14">
        <f t="shared" si="22"/>
        <v>0</v>
      </c>
      <c r="U71" s="29">
        <f t="shared" si="15"/>
        <v>100</v>
      </c>
    </row>
    <row r="72" spans="1:21" ht="15" customHeight="1" x14ac:dyDescent="0.25">
      <c r="A72" s="8" t="s">
        <v>242</v>
      </c>
      <c r="B72" s="8" t="s">
        <v>243</v>
      </c>
      <c r="C72" s="8" t="s">
        <v>185</v>
      </c>
      <c r="D72" s="8" t="s">
        <v>161</v>
      </c>
      <c r="E72" s="13">
        <f>SUMIF(Rural_2026!$A$5:$A$69,$A72,Rural_2026!$H$5:$H$69)</f>
        <v>294751</v>
      </c>
      <c r="F72" s="13">
        <f>SUMIF(Urbano_2026!$A$5:$A$53,$A72,Urbano_2026!$H$5:$H$53)</f>
        <v>0</v>
      </c>
      <c r="G72" s="13">
        <f t="shared" si="16"/>
        <v>294751</v>
      </c>
      <c r="H72" s="13">
        <f>SUMIF(Rural_2024!$A$5:$A$61,$A72,Rural_2024!$O$5:$O$61)+SUMIF(Urbano_2024!$A$5:$A$53,$A72,Urbano_2024!$O$5:$O$53)</f>
        <v>0</v>
      </c>
      <c r="I72" s="14">
        <f t="shared" si="17"/>
        <v>0</v>
      </c>
      <c r="J72" s="13">
        <f>SUMIF(Rural_2024!$A$5:$A$61,$A72,Rural_2024!$R$5:$R$61)+SUMIF(Urbano_2024!$A$5:$A$53,$A72,Urbano_2024!$R$5:$R$53)</f>
        <v>0</v>
      </c>
      <c r="K72" s="13">
        <f>SUMIF(Rural_2025!$A$5:$A$69,$A72,Rural_2025!$O$5:$O$69)+SUMIF(Urbano_2025!$A$5:$A$53,$A72,Urbano_2025!$O$5:$O$53)</f>
        <v>0</v>
      </c>
      <c r="L72" s="13">
        <f>SUMIF(Rural_2025!$A$5:$A$69,$A72,Rural_2025!$P$5:$P$69)+SUMIF(Urbano_2025!$A$5:$A$53,$A72,Urbano_2025!$P$5:$P$53)</f>
        <v>294751</v>
      </c>
      <c r="M72" s="14">
        <f t="shared" si="18"/>
        <v>0</v>
      </c>
      <c r="N72" s="14">
        <f t="shared" si="19"/>
        <v>1</v>
      </c>
      <c r="O72" s="13">
        <f>SUMIF(Rural_2026!$A$5:$A$69,$A72,Rural_2026!$O$5:$O$69)+SUMIF(Urbano_2026!$A$5:$A$53,$A72,Urbano_2026!$O$5:$O$53)</f>
        <v>0</v>
      </c>
      <c r="P72" s="13">
        <f>SUMIF(Rural_2026!$A$5:$A$69,$A72,Rural_2026!$P$5:$P$69)+SUMIF(Urbano_2026!$A$5:$A$53,$A72,Urbano_2026!$P$5:$P$53)</f>
        <v>0</v>
      </c>
      <c r="Q72" s="14">
        <f t="shared" si="20"/>
        <v>0</v>
      </c>
      <c r="R72" s="14">
        <f t="shared" si="21"/>
        <v>0</v>
      </c>
      <c r="S72" s="13">
        <f>SUMIF(Rural_2026!$A$5:$A$69,$A72,Rural_2026!$U$5:$U$69)+SUMIF(Urbano_2026!$A$5:$A$53,$A72,Urbano_2026!$U$5:$U$53)</f>
        <v>0</v>
      </c>
      <c r="T72" s="14">
        <f t="shared" si="22"/>
        <v>0</v>
      </c>
      <c r="U72" s="29">
        <f t="shared" si="15"/>
        <v>0</v>
      </c>
    </row>
    <row r="73" spans="1:21" ht="15" customHeight="1" x14ac:dyDescent="0.25">
      <c r="A73" s="8" t="s">
        <v>325</v>
      </c>
      <c r="B73" s="8" t="s">
        <v>326</v>
      </c>
      <c r="C73" s="8" t="s">
        <v>185</v>
      </c>
      <c r="D73" s="8" t="s">
        <v>318</v>
      </c>
      <c r="E73" s="13">
        <f>SUMIF(Rural_2026!$A$5:$A$69,$A73,Rural_2026!$H$5:$H$69)</f>
        <v>166272.99</v>
      </c>
      <c r="F73" s="13">
        <f>SUMIF(Urbano_2026!$A$5:$A$53,$A73,Urbano_2026!$H$5:$H$53)</f>
        <v>0</v>
      </c>
      <c r="G73" s="13">
        <f t="shared" si="16"/>
        <v>166272.99</v>
      </c>
      <c r="H73" s="13">
        <f>SUMIF(Rural_2024!$A$5:$A$61,$A73,Rural_2024!$O$5:$O$61)+SUMIF(Urbano_2024!$A$5:$A$53,$A73,Urbano_2024!$O$5:$O$53)</f>
        <v>0</v>
      </c>
      <c r="I73" s="14">
        <f t="shared" si="17"/>
        <v>0</v>
      </c>
      <c r="J73" s="13">
        <f>SUMIF(Rural_2024!$A$5:$A$61,$A73,Rural_2024!$R$5:$R$61)+SUMIF(Urbano_2024!$A$5:$A$53,$A73,Urbano_2024!$R$5:$R$53)</f>
        <v>0</v>
      </c>
      <c r="K73" s="13">
        <f>SUMIF(Rural_2025!$A$5:$A$69,$A73,Rural_2025!$O$5:$O$69)+SUMIF(Urbano_2025!$A$5:$A$53,$A73,Urbano_2025!$O$5:$O$53)</f>
        <v>0</v>
      </c>
      <c r="L73" s="13">
        <f>SUMIF(Rural_2025!$A$5:$A$69,$A73,Rural_2025!$P$5:$P$69)+SUMIF(Urbano_2025!$A$5:$A$53,$A73,Urbano_2025!$P$5:$P$53)</f>
        <v>166272.99</v>
      </c>
      <c r="M73" s="14">
        <f t="shared" si="18"/>
        <v>0</v>
      </c>
      <c r="N73" s="14">
        <f t="shared" si="19"/>
        <v>1</v>
      </c>
      <c r="O73" s="13">
        <f>SUMIF(Rural_2026!$A$5:$A$69,$A73,Rural_2026!$O$5:$O$69)+SUMIF(Urbano_2026!$A$5:$A$53,$A73,Urbano_2026!$O$5:$O$53)</f>
        <v>0</v>
      </c>
      <c r="P73" s="13">
        <f>SUMIF(Rural_2026!$A$5:$A$69,$A73,Rural_2026!$P$5:$P$69)+SUMIF(Urbano_2026!$A$5:$A$53,$A73,Urbano_2026!$P$5:$P$53)</f>
        <v>0</v>
      </c>
      <c r="Q73" s="14">
        <f t="shared" si="20"/>
        <v>0</v>
      </c>
      <c r="R73" s="14">
        <f t="shared" si="21"/>
        <v>0</v>
      </c>
      <c r="S73" s="13">
        <f>SUMIF(Rural_2026!$A$5:$A$69,$A73,Rural_2026!$U$5:$U$69)+SUMIF(Urbano_2026!$A$5:$A$53,$A73,Urbano_2026!$U$5:$U$53)</f>
        <v>0</v>
      </c>
      <c r="T73" s="14">
        <f t="shared" si="22"/>
        <v>0</v>
      </c>
      <c r="U73" s="29">
        <f t="shared" si="15"/>
        <v>0</v>
      </c>
    </row>
    <row r="74" spans="1:21" ht="15" customHeight="1" x14ac:dyDescent="0.25">
      <c r="A74" s="22"/>
      <c r="B74" s="10" t="s">
        <v>252</v>
      </c>
      <c r="C74" s="22"/>
      <c r="D74" s="22"/>
      <c r="E74" s="23">
        <f>SUM(E5:E73)</f>
        <v>4393721.08</v>
      </c>
      <c r="F74" s="23">
        <f>SUM(F5:F73)</f>
        <v>8338.0399999999991</v>
      </c>
      <c r="G74" s="23">
        <f>SUM(G5:G73)</f>
        <v>4402059.120000001</v>
      </c>
      <c r="H74" s="23">
        <f>SUM(H5:H73)</f>
        <v>549634.46400000015</v>
      </c>
      <c r="I74" s="24">
        <f t="shared" si="17"/>
        <v>0.12485849213220017</v>
      </c>
      <c r="J74" s="23">
        <f>SUM(J5:J73)</f>
        <v>498829.48293166346</v>
      </c>
      <c r="K74" s="23">
        <f>SUM(K5:K73)</f>
        <v>1774659.38</v>
      </c>
      <c r="L74" s="23">
        <f>SUM(L5:L73)</f>
        <v>3671752.8279999997</v>
      </c>
      <c r="M74" s="24">
        <f t="shared" si="18"/>
        <v>0.40314301367220151</v>
      </c>
      <c r="N74" s="24">
        <f t="shared" si="19"/>
        <v>0.83409893595431739</v>
      </c>
      <c r="O74" s="23">
        <f>SUM(O5:O73)</f>
        <v>2610167.946</v>
      </c>
      <c r="P74" s="23">
        <f>SUM(P5:P73)</f>
        <v>2840545.3199999994</v>
      </c>
      <c r="Q74" s="24">
        <f t="shared" si="20"/>
        <v>0.59294250141738203</v>
      </c>
      <c r="R74" s="24">
        <f t="shared" si="21"/>
        <v>0.64527650414654103</v>
      </c>
      <c r="S74" s="23">
        <f>SUM(S5:S73)</f>
        <v>344120.20150000002</v>
      </c>
      <c r="T74" s="24">
        <f t="shared" si="22"/>
        <v>7.8172553370887021E-2</v>
      </c>
      <c r="U74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zoomScaleNormal="100" workbookViewId="0"/>
  </sheetViews>
  <sheetFormatPr baseColWidth="10" defaultColWidth="8.7109375" defaultRowHeight="15" x14ac:dyDescent="0.25"/>
  <cols>
    <col min="1" max="1" width="70" style="4" customWidth="1"/>
    <col min="2" max="4" width="18" style="4" customWidth="1"/>
    <col min="5" max="5" width="60" style="4" customWidth="1"/>
  </cols>
  <sheetData>
    <row r="1" spans="1:5" ht="15" customHeight="1" x14ac:dyDescent="0.25">
      <c r="A1" s="5" t="s">
        <v>389</v>
      </c>
    </row>
    <row r="3" spans="1:5" ht="30" customHeight="1" x14ac:dyDescent="0.25">
      <c r="A3" s="20" t="s">
        <v>390</v>
      </c>
      <c r="B3" s="20" t="s">
        <v>17</v>
      </c>
      <c r="C3" s="20" t="s">
        <v>0</v>
      </c>
      <c r="D3" s="20" t="s">
        <v>18</v>
      </c>
      <c r="E3" s="20" t="s">
        <v>391</v>
      </c>
    </row>
    <row r="4" spans="1:5" ht="15" customHeight="1" x14ac:dyDescent="0.25">
      <c r="A4" s="8" t="s">
        <v>392</v>
      </c>
      <c r="C4" s="12">
        <v>201</v>
      </c>
      <c r="D4" s="12">
        <v>201</v>
      </c>
      <c r="E4" s="6" t="s">
        <v>393</v>
      </c>
    </row>
    <row r="5" spans="1:5" ht="15" customHeight="1" x14ac:dyDescent="0.25">
      <c r="A5" s="8" t="s">
        <v>394</v>
      </c>
      <c r="C5" s="12">
        <v>72</v>
      </c>
      <c r="D5" s="12">
        <v>114</v>
      </c>
      <c r="E5" s="6" t="s">
        <v>395</v>
      </c>
    </row>
    <row r="6" spans="1:5" ht="15" customHeight="1" x14ac:dyDescent="0.25">
      <c r="A6" s="8" t="s">
        <v>396</v>
      </c>
      <c r="C6" s="12">
        <v>85</v>
      </c>
      <c r="D6" s="12">
        <v>114</v>
      </c>
      <c r="E6" s="6" t="s">
        <v>397</v>
      </c>
    </row>
    <row r="7" spans="1:5" ht="15" customHeight="1" x14ac:dyDescent="0.25">
      <c r="A7" s="8" t="s">
        <v>398</v>
      </c>
      <c r="C7" s="12">
        <v>25</v>
      </c>
      <c r="D7" s="12">
        <v>93</v>
      </c>
      <c r="E7" s="6" t="s">
        <v>399</v>
      </c>
    </row>
    <row r="8" spans="1:5" ht="15" customHeight="1" x14ac:dyDescent="0.25">
      <c r="A8" s="8" t="s">
        <v>400</v>
      </c>
      <c r="C8" s="15">
        <v>0.35799999999999998</v>
      </c>
      <c r="D8" s="15">
        <v>0.56699999999999995</v>
      </c>
      <c r="E8" s="6" t="s">
        <v>401</v>
      </c>
    </row>
    <row r="9" spans="1:5" ht="15" customHeight="1" x14ac:dyDescent="0.25">
      <c r="A9" s="8" t="s">
        <v>402</v>
      </c>
      <c r="C9" s="16">
        <v>960.45</v>
      </c>
      <c r="D9" s="16">
        <v>1014.6</v>
      </c>
      <c r="E9" s="6" t="s">
        <v>403</v>
      </c>
    </row>
    <row r="10" spans="1:5" ht="15" customHeight="1" x14ac:dyDescent="0.25">
      <c r="A10" s="8" t="s">
        <v>404</v>
      </c>
      <c r="C10" s="12">
        <v>112</v>
      </c>
      <c r="D10" s="12">
        <v>112</v>
      </c>
      <c r="E10" s="6" t="s">
        <v>405</v>
      </c>
    </row>
    <row r="11" spans="1:5" ht="15" customHeight="1" x14ac:dyDescent="0.25">
      <c r="A11" s="8" t="s">
        <v>406</v>
      </c>
      <c r="C11" s="12">
        <v>105</v>
      </c>
      <c r="D11" s="12">
        <v>111</v>
      </c>
      <c r="E11" s="18"/>
    </row>
    <row r="12" spans="1:5" ht="15" customHeight="1" x14ac:dyDescent="0.25">
      <c r="A12" s="8" t="s">
        <v>407</v>
      </c>
      <c r="C12" s="12">
        <v>92</v>
      </c>
      <c r="D12" s="12">
        <v>105</v>
      </c>
      <c r="E12" s="18"/>
    </row>
    <row r="13" spans="1:5" ht="22.35" customHeight="1" x14ac:dyDescent="0.25">
      <c r="A13" s="8" t="s">
        <v>408</v>
      </c>
      <c r="C13" s="12">
        <v>7</v>
      </c>
      <c r="D13" s="12">
        <v>1</v>
      </c>
      <c r="E13" s="6" t="s">
        <v>409</v>
      </c>
    </row>
    <row r="14" spans="1:5" ht="15" customHeight="1" x14ac:dyDescent="0.25">
      <c r="A14" s="8" t="s">
        <v>410</v>
      </c>
      <c r="C14" s="12" t="s">
        <v>411</v>
      </c>
      <c r="D14" s="12" t="s">
        <v>412</v>
      </c>
      <c r="E14" s="6" t="s">
        <v>413</v>
      </c>
    </row>
    <row r="17" spans="1:1" ht="15" customHeight="1" x14ac:dyDescent="0.25">
      <c r="A17" s="7" t="s">
        <v>414</v>
      </c>
    </row>
    <row r="18" spans="1:1" ht="15" customHeight="1" x14ac:dyDescent="0.25">
      <c r="A18" s="8" t="s">
        <v>415</v>
      </c>
    </row>
    <row r="19" spans="1:1" ht="15" customHeight="1" x14ac:dyDescent="0.25">
      <c r="A19" s="8" t="s">
        <v>416</v>
      </c>
    </row>
    <row r="20" spans="1:1" ht="15" customHeight="1" x14ac:dyDescent="0.25">
      <c r="A20" s="8" t="s">
        <v>417</v>
      </c>
    </row>
    <row r="21" spans="1:1" ht="15" customHeight="1" x14ac:dyDescent="0.25">
      <c r="A21" s="8" t="s">
        <v>418</v>
      </c>
    </row>
    <row r="22" spans="1:1" ht="15" customHeight="1" x14ac:dyDescent="0.25">
      <c r="A22" s="8" t="s">
        <v>419</v>
      </c>
    </row>
    <row r="24" spans="1:1" ht="15" customHeight="1" x14ac:dyDescent="0.25">
      <c r="A24" s="7" t="s">
        <v>420</v>
      </c>
    </row>
    <row r="25" spans="1:1" ht="15" customHeight="1" x14ac:dyDescent="0.25">
      <c r="A25" s="8" t="s">
        <v>421</v>
      </c>
    </row>
    <row r="26" spans="1:1" ht="15" customHeight="1" x14ac:dyDescent="0.25">
      <c r="A26" s="8" t="s">
        <v>422</v>
      </c>
    </row>
    <row r="27" spans="1:1" ht="15" customHeight="1" x14ac:dyDescent="0.25">
      <c r="A27" s="8" t="s">
        <v>423</v>
      </c>
    </row>
    <row r="28" spans="1:1" ht="15" customHeight="1" x14ac:dyDescent="0.25">
      <c r="A28" s="8" t="s">
        <v>424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7109375" defaultRowHeight="15" x14ac:dyDescent="0.25"/>
  <cols>
    <col min="1" max="1" width="5" style="4" customWidth="1"/>
    <col min="2" max="2" width="28" style="4" customWidth="1"/>
    <col min="3" max="3" width="48" style="4" customWidth="1"/>
    <col min="4" max="5" width="52" style="4" customWidth="1"/>
    <col min="6" max="6" width="34" style="4" customWidth="1"/>
  </cols>
  <sheetData>
    <row r="1" spans="1:6" ht="15" customHeight="1" x14ac:dyDescent="0.25">
      <c r="A1" s="5" t="s">
        <v>425</v>
      </c>
    </row>
    <row r="3" spans="1:6" ht="30" customHeight="1" x14ac:dyDescent="0.25">
      <c r="A3" s="20" t="s">
        <v>426</v>
      </c>
      <c r="B3" s="20" t="s">
        <v>427</v>
      </c>
      <c r="C3" s="20" t="s">
        <v>428</v>
      </c>
      <c r="D3" s="20" t="s">
        <v>429</v>
      </c>
      <c r="E3" s="20" t="s">
        <v>430</v>
      </c>
      <c r="F3" s="20" t="s">
        <v>431</v>
      </c>
    </row>
    <row r="4" spans="1:6" ht="94.5" customHeight="1" x14ac:dyDescent="0.25">
      <c r="A4" s="8">
        <v>1</v>
      </c>
      <c r="B4" s="8" t="s">
        <v>432</v>
      </c>
      <c r="C4" s="8" t="s">
        <v>433</v>
      </c>
      <c r="D4" s="8" t="s">
        <v>434</v>
      </c>
      <c r="E4" s="8" t="s">
        <v>435</v>
      </c>
      <c r="F4" s="8" t="s">
        <v>436</v>
      </c>
    </row>
    <row r="5" spans="1:6" ht="94.5" customHeight="1" x14ac:dyDescent="0.25">
      <c r="A5" s="8">
        <v>2</v>
      </c>
      <c r="B5" s="8" t="s">
        <v>437</v>
      </c>
      <c r="C5" s="8" t="s">
        <v>438</v>
      </c>
      <c r="D5" s="8" t="s">
        <v>439</v>
      </c>
      <c r="E5" s="8" t="s">
        <v>440</v>
      </c>
      <c r="F5" s="8" t="s">
        <v>441</v>
      </c>
    </row>
    <row r="6" spans="1:6" ht="94.5" customHeight="1" x14ac:dyDescent="0.25">
      <c r="A6" s="8">
        <v>3</v>
      </c>
      <c r="B6" s="8" t="s">
        <v>442</v>
      </c>
      <c r="C6" s="8" t="s">
        <v>443</v>
      </c>
      <c r="D6" s="8" t="s">
        <v>444</v>
      </c>
      <c r="E6" s="8" t="s">
        <v>445</v>
      </c>
      <c r="F6" s="8" t="s">
        <v>446</v>
      </c>
    </row>
    <row r="7" spans="1:6" ht="94.5" customHeight="1" x14ac:dyDescent="0.25">
      <c r="A7" s="8">
        <v>4</v>
      </c>
      <c r="B7" s="8" t="s">
        <v>447</v>
      </c>
      <c r="C7" s="8" t="s">
        <v>448</v>
      </c>
      <c r="D7" s="8" t="s">
        <v>449</v>
      </c>
      <c r="E7" s="8" t="s">
        <v>450</v>
      </c>
      <c r="F7" s="8" t="s">
        <v>451</v>
      </c>
    </row>
    <row r="8" spans="1:6" ht="94.5" customHeight="1" x14ac:dyDescent="0.25">
      <c r="A8" s="8">
        <v>5</v>
      </c>
      <c r="B8" s="8" t="s">
        <v>452</v>
      </c>
      <c r="C8" s="8" t="s">
        <v>453</v>
      </c>
      <c r="D8" s="8" t="s">
        <v>454</v>
      </c>
      <c r="E8" s="8" t="s">
        <v>455</v>
      </c>
      <c r="F8" s="8" t="s">
        <v>456</v>
      </c>
    </row>
    <row r="9" spans="1:6" ht="94.5" customHeight="1" x14ac:dyDescent="0.25">
      <c r="A9" s="8">
        <v>6</v>
      </c>
      <c r="B9" s="8" t="s">
        <v>457</v>
      </c>
      <c r="C9" s="8" t="s">
        <v>458</v>
      </c>
      <c r="D9" s="8" t="s">
        <v>459</v>
      </c>
      <c r="E9" s="8" t="s">
        <v>460</v>
      </c>
      <c r="F9" s="8" t="s">
        <v>461</v>
      </c>
    </row>
    <row r="10" spans="1:6" ht="94.5" customHeight="1" x14ac:dyDescent="0.25">
      <c r="A10" s="8">
        <v>7</v>
      </c>
      <c r="B10" s="8" t="s">
        <v>462</v>
      </c>
      <c r="C10" s="8" t="s">
        <v>463</v>
      </c>
      <c r="D10" s="8" t="s">
        <v>464</v>
      </c>
      <c r="E10" s="8" t="s">
        <v>465</v>
      </c>
      <c r="F10" s="8" t="s">
        <v>466</v>
      </c>
    </row>
    <row r="11" spans="1:6" ht="94.5" customHeight="1" x14ac:dyDescent="0.25">
      <c r="A11" s="8">
        <v>8</v>
      </c>
      <c r="B11" s="8" t="s">
        <v>467</v>
      </c>
      <c r="C11" s="8" t="s">
        <v>468</v>
      </c>
      <c r="D11" s="8" t="s">
        <v>469</v>
      </c>
      <c r="E11" s="8" t="s">
        <v>470</v>
      </c>
      <c r="F11" s="8" t="s">
        <v>471</v>
      </c>
    </row>
    <row r="12" spans="1:6" ht="94.5" customHeight="1" x14ac:dyDescent="0.25">
      <c r="A12" s="8">
        <v>9</v>
      </c>
      <c r="B12" s="8" t="s">
        <v>472</v>
      </c>
      <c r="C12" s="8" t="s">
        <v>473</v>
      </c>
      <c r="D12" s="8" t="s">
        <v>474</v>
      </c>
      <c r="E12" s="8" t="s">
        <v>475</v>
      </c>
      <c r="F12" s="8" t="s">
        <v>476</v>
      </c>
    </row>
    <row r="13" spans="1:6" ht="94.5" customHeight="1" x14ac:dyDescent="0.25">
      <c r="A13" s="8">
        <v>10</v>
      </c>
      <c r="B13" s="8" t="s">
        <v>477</v>
      </c>
      <c r="C13" s="8" t="s">
        <v>478</v>
      </c>
      <c r="D13" s="8" t="s">
        <v>479</v>
      </c>
      <c r="E13" s="8" t="s">
        <v>480</v>
      </c>
      <c r="F13" s="8" t="s">
        <v>476</v>
      </c>
    </row>
    <row r="14" spans="1:6" ht="94.5" customHeight="1" x14ac:dyDescent="0.25">
      <c r="A14" s="8">
        <v>11</v>
      </c>
      <c r="B14" s="8" t="s">
        <v>481</v>
      </c>
      <c r="C14" s="8" t="s">
        <v>482</v>
      </c>
      <c r="D14" s="8" t="s">
        <v>483</v>
      </c>
      <c r="E14" s="8" t="s">
        <v>484</v>
      </c>
      <c r="F14" s="8" t="s">
        <v>485</v>
      </c>
    </row>
    <row r="15" spans="1:6" ht="94.5" customHeight="1" x14ac:dyDescent="0.25">
      <c r="A15" s="8">
        <v>12</v>
      </c>
      <c r="B15" s="8" t="s">
        <v>486</v>
      </c>
      <c r="C15" s="8" t="s">
        <v>487</v>
      </c>
      <c r="D15" s="8" t="s">
        <v>488</v>
      </c>
      <c r="E15" s="8" t="s">
        <v>489</v>
      </c>
      <c r="F15" s="8" t="s">
        <v>490</v>
      </c>
    </row>
    <row r="16" spans="1:6" ht="94.5" customHeight="1" x14ac:dyDescent="0.25">
      <c r="A16" s="8">
        <v>13</v>
      </c>
      <c r="B16" s="8" t="s">
        <v>491</v>
      </c>
      <c r="C16" s="8" t="s">
        <v>492</v>
      </c>
      <c r="D16" s="8" t="s">
        <v>493</v>
      </c>
      <c r="E16" s="8" t="s">
        <v>494</v>
      </c>
      <c r="F16" s="8" t="s">
        <v>495</v>
      </c>
    </row>
    <row r="17" spans="1:6" ht="94.5" customHeight="1" x14ac:dyDescent="0.25">
      <c r="A17" s="8">
        <v>14</v>
      </c>
      <c r="B17" s="8" t="s">
        <v>496</v>
      </c>
      <c r="C17" s="8" t="s">
        <v>497</v>
      </c>
      <c r="D17" s="8" t="s">
        <v>498</v>
      </c>
      <c r="E17" s="8" t="s">
        <v>499</v>
      </c>
      <c r="F17" s="8" t="s">
        <v>500</v>
      </c>
    </row>
    <row r="18" spans="1:6" ht="94.5" customHeight="1" x14ac:dyDescent="0.25">
      <c r="A18" s="8">
        <v>15</v>
      </c>
      <c r="B18" s="8" t="s">
        <v>501</v>
      </c>
      <c r="C18" s="8" t="s">
        <v>502</v>
      </c>
      <c r="D18" s="8" t="s">
        <v>503</v>
      </c>
      <c r="E18" s="8" t="s">
        <v>504</v>
      </c>
      <c r="F18" s="8" t="s">
        <v>505</v>
      </c>
    </row>
    <row r="19" spans="1:6" ht="94.5" customHeight="1" x14ac:dyDescent="0.25">
      <c r="A19" s="8">
        <v>16</v>
      </c>
      <c r="B19" s="8" t="s">
        <v>506</v>
      </c>
      <c r="C19" s="8" t="s">
        <v>507</v>
      </c>
      <c r="D19" s="8" t="s">
        <v>508</v>
      </c>
      <c r="E19" s="8" t="s">
        <v>509</v>
      </c>
      <c r="F19" s="8" t="s">
        <v>500</v>
      </c>
    </row>
    <row r="20" spans="1:6" ht="94.5" customHeight="1" x14ac:dyDescent="0.25">
      <c r="A20" s="8">
        <v>17</v>
      </c>
      <c r="B20" s="8" t="s">
        <v>510</v>
      </c>
      <c r="C20" s="8" t="s">
        <v>511</v>
      </c>
      <c r="D20" s="8" t="s">
        <v>512</v>
      </c>
      <c r="E20" s="8" t="s">
        <v>513</v>
      </c>
      <c r="F20" s="8" t="s">
        <v>514</v>
      </c>
    </row>
    <row r="21" spans="1:6" ht="94.5" customHeight="1" x14ac:dyDescent="0.25">
      <c r="A21" s="8">
        <v>18</v>
      </c>
      <c r="B21" s="8" t="s">
        <v>515</v>
      </c>
      <c r="C21" s="8" t="s">
        <v>516</v>
      </c>
      <c r="D21" s="8" t="s">
        <v>517</v>
      </c>
      <c r="E21" s="8" t="s">
        <v>518</v>
      </c>
      <c r="F21" s="8" t="s">
        <v>500</v>
      </c>
    </row>
    <row r="22" spans="1:6" ht="94.5" customHeight="1" x14ac:dyDescent="0.25">
      <c r="A22" s="8">
        <v>19</v>
      </c>
      <c r="B22" s="8" t="s">
        <v>519</v>
      </c>
      <c r="C22" s="8" t="s">
        <v>520</v>
      </c>
      <c r="D22" s="8" t="s">
        <v>521</v>
      </c>
      <c r="E22" s="8" t="s">
        <v>522</v>
      </c>
      <c r="F22" s="8" t="s">
        <v>523</v>
      </c>
    </row>
    <row r="23" spans="1:6" ht="94.5" customHeight="1" x14ac:dyDescent="0.25">
      <c r="A23" s="8">
        <v>20</v>
      </c>
      <c r="B23" s="8" t="s">
        <v>524</v>
      </c>
      <c r="C23" s="8" t="s">
        <v>525</v>
      </c>
      <c r="D23" s="8" t="s">
        <v>526</v>
      </c>
      <c r="E23" s="8" t="s">
        <v>527</v>
      </c>
      <c r="F23" s="8" t="s">
        <v>528</v>
      </c>
    </row>
    <row r="24" spans="1:6" ht="94.5" customHeight="1" x14ac:dyDescent="0.25">
      <c r="A24" s="8">
        <v>21</v>
      </c>
      <c r="B24" s="8" t="s">
        <v>529</v>
      </c>
      <c r="C24" s="8" t="s">
        <v>530</v>
      </c>
      <c r="D24" s="8" t="s">
        <v>531</v>
      </c>
      <c r="E24" s="8" t="s">
        <v>532</v>
      </c>
      <c r="F24" s="8" t="s">
        <v>533</v>
      </c>
    </row>
    <row r="25" spans="1:6" ht="94.5" customHeight="1" x14ac:dyDescent="0.25">
      <c r="A25" s="8">
        <v>22</v>
      </c>
      <c r="B25" s="8" t="s">
        <v>534</v>
      </c>
      <c r="C25" s="8" t="s">
        <v>535</v>
      </c>
      <c r="D25" s="8" t="s">
        <v>536</v>
      </c>
      <c r="E25" s="8" t="s">
        <v>537</v>
      </c>
      <c r="F25" s="8" t="s">
        <v>500</v>
      </c>
    </row>
    <row r="26" spans="1:6" ht="94.5" customHeight="1" x14ac:dyDescent="0.25">
      <c r="A26" s="8">
        <v>23</v>
      </c>
      <c r="B26" s="8" t="s">
        <v>538</v>
      </c>
      <c r="C26" s="8" t="s">
        <v>539</v>
      </c>
      <c r="D26" s="8" t="s">
        <v>540</v>
      </c>
      <c r="E26" s="8" t="s">
        <v>541</v>
      </c>
      <c r="F26" s="8" t="s">
        <v>542</v>
      </c>
    </row>
    <row r="27" spans="1:6" ht="94.5" customHeight="1" x14ac:dyDescent="0.25">
      <c r="A27" s="8">
        <v>24</v>
      </c>
      <c r="B27" s="8" t="s">
        <v>543</v>
      </c>
      <c r="C27" s="8" t="s">
        <v>544</v>
      </c>
      <c r="D27" s="8" t="s">
        <v>545</v>
      </c>
      <c r="E27" s="8" t="s">
        <v>546</v>
      </c>
      <c r="F27" s="8" t="s">
        <v>547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3E7E-74DD-473B-BD2B-38162CEB88FA}">
  <dimension ref="A1:D27"/>
  <sheetViews>
    <sheetView tabSelected="1" workbookViewId="0">
      <selection activeCell="C31" sqref="C31"/>
    </sheetView>
  </sheetViews>
  <sheetFormatPr baseColWidth="10" defaultColWidth="9.140625" defaultRowHeight="15" x14ac:dyDescent="0.25"/>
  <cols>
    <col min="1" max="1" width="28.28515625" style="2" customWidth="1"/>
    <col min="2" max="4" width="20" style="2" customWidth="1"/>
    <col min="5" max="16384" width="9.140625" style="2"/>
  </cols>
  <sheetData>
    <row r="1" spans="1:4" x14ac:dyDescent="0.25">
      <c r="A1" s="2" t="s">
        <v>641</v>
      </c>
    </row>
    <row r="3" spans="1:4" x14ac:dyDescent="0.25">
      <c r="A3" s="1" t="s">
        <v>640</v>
      </c>
      <c r="B3" s="1" t="s">
        <v>639</v>
      </c>
      <c r="C3" s="1" t="s">
        <v>638</v>
      </c>
      <c r="D3" s="1" t="s">
        <v>391</v>
      </c>
    </row>
    <row r="4" spans="1:4" x14ac:dyDescent="0.25">
      <c r="A4" s="36">
        <v>1</v>
      </c>
      <c r="B4" s="35">
        <v>4443293151</v>
      </c>
      <c r="C4" s="34">
        <v>45483</v>
      </c>
      <c r="D4" s="2" t="s">
        <v>637</v>
      </c>
    </row>
    <row r="5" spans="1:4" x14ac:dyDescent="0.25">
      <c r="A5" s="36">
        <v>2</v>
      </c>
      <c r="B5" s="35">
        <v>1400329540</v>
      </c>
      <c r="C5" s="34">
        <v>45565</v>
      </c>
      <c r="D5" s="2" t="s">
        <v>637</v>
      </c>
    </row>
    <row r="6" spans="1:4" x14ac:dyDescent="0.25">
      <c r="A6" s="36">
        <v>3</v>
      </c>
      <c r="B6" s="35">
        <v>2070395467</v>
      </c>
      <c r="C6" s="34">
        <v>45622</v>
      </c>
      <c r="D6" s="2" t="s">
        <v>637</v>
      </c>
    </row>
    <row r="7" spans="1:4" x14ac:dyDescent="0.25">
      <c r="A7" s="36">
        <v>4</v>
      </c>
      <c r="B7" s="35">
        <v>4371590312</v>
      </c>
      <c r="C7" s="34">
        <v>45643</v>
      </c>
      <c r="D7" s="2" t="s">
        <v>637</v>
      </c>
    </row>
    <row r="8" spans="1:4" x14ac:dyDescent="0.25">
      <c r="A8" s="36">
        <v>5</v>
      </c>
      <c r="B8" s="35">
        <v>1529400283</v>
      </c>
      <c r="C8" s="34">
        <v>45694</v>
      </c>
      <c r="D8" s="2" t="s">
        <v>637</v>
      </c>
    </row>
    <row r="9" spans="1:4" x14ac:dyDescent="0.25">
      <c r="A9" s="36">
        <v>6</v>
      </c>
      <c r="B9" s="35">
        <v>4092061168</v>
      </c>
      <c r="C9" s="34">
        <v>45727</v>
      </c>
      <c r="D9" s="2" t="s">
        <v>637</v>
      </c>
    </row>
    <row r="10" spans="1:4" x14ac:dyDescent="0.25">
      <c r="A10" s="36">
        <v>7</v>
      </c>
      <c r="B10" s="35">
        <v>2431679761</v>
      </c>
      <c r="C10" s="34">
        <v>45758</v>
      </c>
      <c r="D10" s="2" t="s">
        <v>637</v>
      </c>
    </row>
    <row r="11" spans="1:4" x14ac:dyDescent="0.25">
      <c r="A11" s="36">
        <v>8</v>
      </c>
      <c r="B11" s="35">
        <v>1916309390</v>
      </c>
      <c r="C11" s="34">
        <v>45800</v>
      </c>
      <c r="D11" s="2" t="s">
        <v>637</v>
      </c>
    </row>
    <row r="12" spans="1:4" x14ac:dyDescent="0.25">
      <c r="A12" s="36">
        <v>9</v>
      </c>
      <c r="B12" s="35">
        <v>3760092485</v>
      </c>
      <c r="C12" s="34">
        <v>45835</v>
      </c>
      <c r="D12" s="2" t="s">
        <v>637</v>
      </c>
    </row>
    <row r="13" spans="1:4" x14ac:dyDescent="0.25">
      <c r="A13" s="36">
        <v>10</v>
      </c>
      <c r="B13" s="35">
        <v>1878860361</v>
      </c>
      <c r="C13" s="34">
        <v>45875</v>
      </c>
      <c r="D13" s="2" t="s">
        <v>637</v>
      </c>
    </row>
    <row r="14" spans="1:4" x14ac:dyDescent="0.25">
      <c r="A14" s="36">
        <v>11</v>
      </c>
      <c r="B14" s="35">
        <v>3173215589</v>
      </c>
      <c r="C14" s="34">
        <v>45925</v>
      </c>
      <c r="D14" s="2" t="s">
        <v>637</v>
      </c>
    </row>
    <row r="15" spans="1:4" x14ac:dyDescent="0.25">
      <c r="A15" s="36">
        <v>12</v>
      </c>
      <c r="B15" s="35">
        <v>1572296217</v>
      </c>
      <c r="C15" s="34">
        <v>45960</v>
      </c>
      <c r="D15" s="2" t="s">
        <v>637</v>
      </c>
    </row>
    <row r="16" spans="1:4" x14ac:dyDescent="0.25">
      <c r="A16" s="36">
        <v>13</v>
      </c>
      <c r="B16" s="35">
        <v>1937773481</v>
      </c>
      <c r="C16" s="34">
        <v>45987</v>
      </c>
      <c r="D16" s="2" t="s">
        <v>637</v>
      </c>
    </row>
    <row r="17" spans="1:4" x14ac:dyDescent="0.25">
      <c r="A17" s="36">
        <v>14</v>
      </c>
      <c r="B17" s="35">
        <v>1851501422</v>
      </c>
      <c r="C17" s="34">
        <v>46014</v>
      </c>
      <c r="D17" s="2" t="s">
        <v>637</v>
      </c>
    </row>
    <row r="18" spans="1:4" x14ac:dyDescent="0.25">
      <c r="A18" s="36">
        <v>15</v>
      </c>
      <c r="B18" s="35">
        <v>2038743554</v>
      </c>
      <c r="C18" s="34">
        <v>46071</v>
      </c>
      <c r="D18" s="2" t="s">
        <v>636</v>
      </c>
    </row>
    <row r="19" spans="1:4" x14ac:dyDescent="0.25">
      <c r="A19" s="36">
        <v>16</v>
      </c>
      <c r="B19" s="35">
        <v>1162351025</v>
      </c>
      <c r="C19" s="34">
        <v>46094</v>
      </c>
      <c r="D19" s="2" t="s">
        <v>636</v>
      </c>
    </row>
    <row r="20" spans="1:4" x14ac:dyDescent="0.25">
      <c r="A20" s="36">
        <v>17</v>
      </c>
      <c r="B20" s="35">
        <v>650272553</v>
      </c>
      <c r="C20" s="34">
        <v>46108</v>
      </c>
      <c r="D20" s="2" t="s">
        <v>636</v>
      </c>
    </row>
    <row r="21" spans="1:4" x14ac:dyDescent="0.25">
      <c r="A21" s="36">
        <v>18</v>
      </c>
      <c r="B21" s="35">
        <v>1115566980</v>
      </c>
      <c r="C21" s="34">
        <v>46105</v>
      </c>
      <c r="D21" s="2" t="s">
        <v>636</v>
      </c>
    </row>
    <row r="22" spans="1:4" x14ac:dyDescent="0.25">
      <c r="A22" s="36">
        <v>19</v>
      </c>
      <c r="B22" s="35">
        <v>547391795</v>
      </c>
      <c r="C22" s="34">
        <v>46185</v>
      </c>
      <c r="D22" s="2" t="s">
        <v>636</v>
      </c>
    </row>
    <row r="24" spans="1:4" x14ac:dyDescent="0.25">
      <c r="A24" s="1" t="s">
        <v>635</v>
      </c>
      <c r="B24" s="1" t="s">
        <v>634</v>
      </c>
      <c r="C24" s="1" t="s">
        <v>633</v>
      </c>
      <c r="D24" s="1" t="s">
        <v>632</v>
      </c>
    </row>
    <row r="25" spans="1:4" x14ac:dyDescent="0.25">
      <c r="A25" s="2" t="s">
        <v>631</v>
      </c>
      <c r="B25" s="32">
        <f>SUM(B4:B7)</f>
        <v>12285608470</v>
      </c>
      <c r="C25" s="33">
        <v>12285608470</v>
      </c>
      <c r="D25" s="32">
        <f>C25-B25</f>
        <v>0</v>
      </c>
    </row>
    <row r="26" spans="1:4" x14ac:dyDescent="0.25">
      <c r="A26" s="2" t="s">
        <v>630</v>
      </c>
      <c r="B26" s="32">
        <f>SUM(B4:B17)</f>
        <v>36428798627</v>
      </c>
      <c r="C26" s="33">
        <v>36428798537</v>
      </c>
      <c r="D26" s="32">
        <f>C26-B26</f>
        <v>-90</v>
      </c>
    </row>
    <row r="27" spans="1:4" x14ac:dyDescent="0.25">
      <c r="A27" s="2" t="s">
        <v>629</v>
      </c>
      <c r="B27" s="32">
        <f>SUM(B4:B22)</f>
        <v>41943124534</v>
      </c>
      <c r="C27" s="33">
        <v>41957078791</v>
      </c>
      <c r="D27" s="32">
        <f>C27-B27</f>
        <v>13954257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zoomScaleNormal="100" workbookViewId="0"/>
  </sheetViews>
  <sheetFormatPr baseColWidth="10" defaultColWidth="8.7109375" defaultRowHeight="15" x14ac:dyDescent="0.25"/>
  <cols>
    <col min="1" max="1" width="46" style="4" customWidth="1"/>
    <col min="2" max="2" width="10" style="4" customWidth="1"/>
    <col min="3" max="3" width="12" style="4" customWidth="1"/>
    <col min="4" max="4" width="22" style="4" customWidth="1"/>
    <col min="5" max="5" width="14" style="4" customWidth="1"/>
    <col min="6" max="6" width="70" style="4" customWidth="1"/>
  </cols>
  <sheetData>
    <row r="1" spans="1:6" ht="15" customHeight="1" x14ac:dyDescent="0.25">
      <c r="A1" s="5" t="s">
        <v>548</v>
      </c>
    </row>
    <row r="3" spans="1:6" ht="30" customHeight="1" x14ac:dyDescent="0.25">
      <c r="A3" s="20" t="s">
        <v>549</v>
      </c>
      <c r="B3" s="20" t="s">
        <v>550</v>
      </c>
      <c r="C3" s="20" t="s">
        <v>551</v>
      </c>
      <c r="D3" s="20" t="s">
        <v>552</v>
      </c>
      <c r="E3" s="20" t="s">
        <v>553</v>
      </c>
      <c r="F3" s="20" t="s">
        <v>554</v>
      </c>
    </row>
    <row r="4" spans="1:6" ht="45" customHeight="1" x14ac:dyDescent="0.25">
      <c r="A4" s="8" t="s">
        <v>555</v>
      </c>
      <c r="B4" s="8" t="s">
        <v>556</v>
      </c>
      <c r="C4" s="8" t="s">
        <v>557</v>
      </c>
      <c r="D4" s="8" t="s">
        <v>558</v>
      </c>
      <c r="E4" s="8" t="s">
        <v>559</v>
      </c>
      <c r="F4" s="8" t="s">
        <v>560</v>
      </c>
    </row>
    <row r="5" spans="1:6" ht="45" customHeight="1" x14ac:dyDescent="0.25">
      <c r="A5" s="8" t="s">
        <v>561</v>
      </c>
      <c r="B5" s="8" t="s">
        <v>562</v>
      </c>
      <c r="C5" s="8" t="s">
        <v>563</v>
      </c>
      <c r="D5" s="8" t="s">
        <v>564</v>
      </c>
      <c r="E5" s="8" t="s">
        <v>565</v>
      </c>
      <c r="F5" s="8" t="s">
        <v>566</v>
      </c>
    </row>
    <row r="6" spans="1:6" ht="45" customHeight="1" x14ac:dyDescent="0.25">
      <c r="A6" s="8" t="s">
        <v>567</v>
      </c>
      <c r="B6" s="8" t="s">
        <v>568</v>
      </c>
      <c r="C6" s="8" t="s">
        <v>569</v>
      </c>
      <c r="D6" s="8" t="s">
        <v>570</v>
      </c>
      <c r="E6" s="8" t="s">
        <v>571</v>
      </c>
      <c r="F6" s="8" t="s">
        <v>572</v>
      </c>
    </row>
    <row r="7" spans="1:6" ht="45" customHeight="1" x14ac:dyDescent="0.25">
      <c r="A7" s="8" t="s">
        <v>573</v>
      </c>
      <c r="B7" s="8" t="s">
        <v>568</v>
      </c>
      <c r="C7" s="8" t="s">
        <v>569</v>
      </c>
      <c r="D7" s="8" t="s">
        <v>574</v>
      </c>
      <c r="E7" s="8" t="s">
        <v>575</v>
      </c>
      <c r="F7" s="8" t="s">
        <v>572</v>
      </c>
    </row>
    <row r="8" spans="1:6" ht="45" customHeight="1" x14ac:dyDescent="0.25">
      <c r="A8" s="8" t="s">
        <v>576</v>
      </c>
      <c r="B8" s="8" t="s">
        <v>577</v>
      </c>
      <c r="C8" s="8" t="s">
        <v>578</v>
      </c>
      <c r="D8" s="8" t="s">
        <v>579</v>
      </c>
      <c r="E8" s="8" t="s">
        <v>580</v>
      </c>
      <c r="F8" s="8" t="s">
        <v>461</v>
      </c>
    </row>
    <row r="9" spans="1:6" ht="45" customHeight="1" x14ac:dyDescent="0.25">
      <c r="A9" s="8" t="s">
        <v>581</v>
      </c>
      <c r="B9" s="8" t="s">
        <v>577</v>
      </c>
      <c r="C9" s="8" t="s">
        <v>578</v>
      </c>
      <c r="D9" s="8" t="s">
        <v>582</v>
      </c>
      <c r="E9" s="8" t="s">
        <v>583</v>
      </c>
      <c r="F9" s="8" t="s">
        <v>584</v>
      </c>
    </row>
    <row r="10" spans="1:6" ht="45" customHeight="1" x14ac:dyDescent="0.25">
      <c r="A10" s="8" t="s">
        <v>585</v>
      </c>
      <c r="B10" s="8" t="s">
        <v>577</v>
      </c>
      <c r="C10" s="8" t="s">
        <v>578</v>
      </c>
      <c r="D10" s="8" t="s">
        <v>586</v>
      </c>
      <c r="E10" s="8" t="s">
        <v>587</v>
      </c>
      <c r="F10" s="8" t="s">
        <v>588</v>
      </c>
    </row>
    <row r="11" spans="1:6" ht="45" customHeight="1" x14ac:dyDescent="0.25">
      <c r="A11" s="8" t="s">
        <v>589</v>
      </c>
      <c r="B11" s="8" t="s">
        <v>577</v>
      </c>
      <c r="C11" s="8" t="s">
        <v>578</v>
      </c>
      <c r="D11" s="8" t="s">
        <v>590</v>
      </c>
      <c r="E11" s="8" t="s">
        <v>591</v>
      </c>
      <c r="F11" s="8" t="s">
        <v>592</v>
      </c>
    </row>
    <row r="12" spans="1:6" ht="45" customHeight="1" x14ac:dyDescent="0.25">
      <c r="A12" s="8" t="s">
        <v>593</v>
      </c>
      <c r="B12" s="8" t="s">
        <v>577</v>
      </c>
      <c r="C12" s="8" t="s">
        <v>578</v>
      </c>
      <c r="D12" s="8" t="s">
        <v>594</v>
      </c>
      <c r="E12" s="8" t="s">
        <v>595</v>
      </c>
      <c r="F12" s="8" t="s">
        <v>566</v>
      </c>
    </row>
    <row r="13" spans="1:6" ht="45" customHeight="1" x14ac:dyDescent="0.25">
      <c r="A13" s="8" t="s">
        <v>596</v>
      </c>
      <c r="B13" s="8" t="s">
        <v>597</v>
      </c>
      <c r="C13" s="8" t="s">
        <v>598</v>
      </c>
      <c r="D13" s="8" t="s">
        <v>599</v>
      </c>
      <c r="E13" s="8" t="s">
        <v>600</v>
      </c>
      <c r="F13" s="8" t="s">
        <v>566</v>
      </c>
    </row>
    <row r="14" spans="1:6" ht="45" customHeight="1" x14ac:dyDescent="0.25">
      <c r="A14" s="8" t="s">
        <v>601</v>
      </c>
      <c r="B14" s="8" t="s">
        <v>597</v>
      </c>
      <c r="C14" s="8" t="s">
        <v>598</v>
      </c>
      <c r="D14" s="8" t="s">
        <v>602</v>
      </c>
      <c r="E14" s="8" t="s">
        <v>603</v>
      </c>
      <c r="F14" s="8" t="s">
        <v>604</v>
      </c>
    </row>
    <row r="15" spans="1:6" ht="45" customHeight="1" x14ac:dyDescent="0.25">
      <c r="A15" s="8" t="s">
        <v>605</v>
      </c>
      <c r="B15" s="8" t="s">
        <v>597</v>
      </c>
      <c r="C15" s="8" t="s">
        <v>598</v>
      </c>
      <c r="D15" s="8" t="s">
        <v>606</v>
      </c>
      <c r="E15" s="8" t="s">
        <v>607</v>
      </c>
      <c r="F15" s="8" t="s">
        <v>608</v>
      </c>
    </row>
    <row r="16" spans="1:6" ht="45" customHeight="1" x14ac:dyDescent="0.25">
      <c r="A16" s="8" t="s">
        <v>609</v>
      </c>
      <c r="B16" s="8" t="s">
        <v>597</v>
      </c>
      <c r="C16" s="8" t="s">
        <v>598</v>
      </c>
      <c r="D16" s="8" t="s">
        <v>610</v>
      </c>
      <c r="E16" s="8" t="s">
        <v>611</v>
      </c>
      <c r="F16" s="8" t="s">
        <v>612</v>
      </c>
    </row>
    <row r="17" spans="1:6" ht="45" customHeight="1" x14ac:dyDescent="0.25">
      <c r="A17" s="8" t="s">
        <v>613</v>
      </c>
      <c r="B17" s="8" t="s">
        <v>556</v>
      </c>
      <c r="C17" s="8" t="s">
        <v>563</v>
      </c>
      <c r="D17" s="8" t="s">
        <v>614</v>
      </c>
      <c r="E17" s="8" t="s">
        <v>615</v>
      </c>
      <c r="F17" s="8" t="s">
        <v>616</v>
      </c>
    </row>
    <row r="18" spans="1:6" ht="45" customHeight="1" x14ac:dyDescent="0.25">
      <c r="A18" s="8" t="s">
        <v>617</v>
      </c>
      <c r="B18" s="8" t="s">
        <v>562</v>
      </c>
      <c r="C18" s="8" t="s">
        <v>542</v>
      </c>
      <c r="D18" s="8" t="s">
        <v>542</v>
      </c>
      <c r="E18" s="8" t="s">
        <v>542</v>
      </c>
      <c r="F18" s="8" t="s">
        <v>618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/>
  </sheetViews>
  <sheetFormatPr baseColWidth="10" defaultColWidth="9.140625" defaultRowHeight="15" x14ac:dyDescent="0.25"/>
  <cols>
    <col min="1" max="1" width="28" style="2" customWidth="1"/>
    <col min="2" max="2" width="120" style="2" customWidth="1"/>
  </cols>
  <sheetData>
    <row r="1" spans="1:2" x14ac:dyDescent="0.25">
      <c r="A1" s="3" t="s">
        <v>619</v>
      </c>
      <c r="B1" s="3" t="s">
        <v>620</v>
      </c>
    </row>
    <row r="2" spans="1:2" x14ac:dyDescent="0.25">
      <c r="A2" s="3" t="s">
        <v>621</v>
      </c>
      <c r="B2" s="3" t="s">
        <v>622</v>
      </c>
    </row>
    <row r="3" spans="1:2" x14ac:dyDescent="0.25">
      <c r="A3" s="3" t="s">
        <v>623</v>
      </c>
      <c r="B3" s="3" t="s">
        <v>624</v>
      </c>
    </row>
    <row r="4" spans="1:2" x14ac:dyDescent="0.25">
      <c r="A4" s="3" t="s">
        <v>625</v>
      </c>
      <c r="B4" s="3" t="s">
        <v>626</v>
      </c>
    </row>
    <row r="5" spans="1:2" x14ac:dyDescent="0.25">
      <c r="A5" s="3" t="s">
        <v>627</v>
      </c>
      <c r="B5" s="3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Rural_2024</vt:lpstr>
      <vt:lpstr>Urbano_2024</vt:lpstr>
      <vt:lpstr>Rural_2025</vt:lpstr>
      <vt:lpstr>Urbano_2025</vt:lpstr>
      <vt:lpstr>Rural_2026</vt:lpstr>
      <vt:lpstr>Urbano_2026</vt:lpstr>
      <vt:lpstr>Por municipio</vt:lpstr>
      <vt:lpstr>CP_360</vt:lpstr>
      <vt:lpstr>Contraste</vt:lpstr>
      <vt:lpstr>Pagos</vt:lpstr>
      <vt:lpstr>Evidencia</vt:lpstr>
      <vt:lpstr>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ALEJANDRO RUEDA ALZATE</cp:lastModifiedBy>
  <cp:revision>0</cp:revision>
  <dcterms:created xsi:type="dcterms:W3CDTF">2026-10-06T11:42:40Z</dcterms:created>
  <dcterms:modified xsi:type="dcterms:W3CDTF">2026-10-06T16:02:14Z</dcterms:modified>
  <dc:language>en-US</dc:language>
</cp:coreProperties>
</file>